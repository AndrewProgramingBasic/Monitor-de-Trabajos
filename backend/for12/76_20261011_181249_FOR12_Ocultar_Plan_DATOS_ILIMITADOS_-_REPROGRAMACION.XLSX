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campo05\Desktop\Ventanas_listas\Asig_Restringir_PLAN_ILIMITADO\"/>
    </mc:Choice>
  </mc:AlternateContent>
  <xr:revisionPtr revIDLastSave="0" documentId="13_ncr:1_{5685B1FC-7EA7-4D2A-8280-636A5DDD12E5}" xr6:coauthVersionLast="47" xr6:coauthVersionMax="47" xr10:uidLastSave="{00000000-0000-0000-0000-000000000000}"/>
  <bookViews>
    <workbookView xWindow="-120" yWindow="-120" windowWidth="29040" windowHeight="15720" tabRatio="518" activeTab="1" xr2:uid="{00000000-000D-0000-FFFF-FFFF00000000}"/>
  </bookViews>
  <sheets>
    <sheet name="Datos Generales" sheetId="1" r:id="rId1"/>
    <sheet name="Plan de trabajo" sheetId="2" r:id="rId2"/>
    <sheet name="Impacto" sheetId="3" r:id="rId3"/>
    <sheet name="Plan de Regreso" sheetId="4" r:id="rId4"/>
    <sheet name="Plan de Respaldo o Contingencia" sheetId="5" r:id="rId5"/>
    <sheet name="Plan de Prueba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E15" i="2" l="1"/>
  <c r="E15" i="6"/>
  <c r="D16" i="6" s="1"/>
  <c r="E16" i="6" s="1"/>
  <c r="F14" i="5"/>
  <c r="F14" i="4"/>
  <c r="E15" i="4" s="1"/>
  <c r="F15" i="4" s="1"/>
  <c r="E16" i="4" s="1"/>
  <c r="F16" i="4" s="1"/>
  <c r="E17" i="4" s="1"/>
  <c r="F17" i="4" s="1"/>
  <c r="E9" i="2"/>
  <c r="D10" i="2" s="1"/>
  <c r="E10" i="2" s="1"/>
  <c r="D12" i="2" s="1"/>
  <c r="E12" i="2" s="1"/>
  <c r="E18" i="4" l="1"/>
  <c r="F18" i="4" s="1"/>
  <c r="E19" i="4" s="1"/>
  <c r="F19" i="4" s="1"/>
  <c r="E20" i="4" s="1"/>
  <c r="F20" i="4" s="1"/>
  <c r="E21" i="4" s="1"/>
  <c r="F21" i="4" s="1"/>
  <c r="E22" i="4" s="1"/>
  <c r="F22" i="4" s="1"/>
  <c r="D17" i="6"/>
  <c r="D13" i="2"/>
  <c r="E13" i="2" s="1"/>
  <c r="D14" i="2" s="1"/>
  <c r="E14" i="2" s="1"/>
  <c r="D15" i="2" s="1"/>
  <c r="D16" i="2" s="1"/>
  <c r="E16" i="2" s="1"/>
  <c r="E23" i="4" l="1"/>
  <c r="F23" i="4" s="1"/>
  <c r="D17" i="2"/>
  <c r="E17" i="2" s="1"/>
  <c r="D18" i="2" s="1"/>
  <c r="E18" i="2" s="1"/>
  <c r="D19" i="2" s="1"/>
  <c r="E19" i="2" s="1"/>
  <c r="D20" i="2" s="1"/>
  <c r="E20" i="2" s="1"/>
  <c r="E17" i="6"/>
  <c r="D18" i="6" s="1"/>
  <c r="E18" i="6" s="1"/>
  <c r="D19" i="6" s="1"/>
  <c r="D21" i="2" l="1"/>
  <c r="E21" i="2" s="1"/>
  <c r="E24" i="4"/>
  <c r="F24" i="4" s="1"/>
  <c r="E25" i="4" s="1"/>
  <c r="F25" i="4" s="1"/>
  <c r="E26" i="4" s="1"/>
  <c r="F26" i="4" s="1"/>
  <c r="E27" i="4" s="1"/>
  <c r="E19" i="6"/>
  <c r="D20" i="6" s="1"/>
  <c r="D22" i="2" l="1"/>
  <c r="E22" i="2" s="1"/>
  <c r="D23" i="2" s="1"/>
  <c r="E23" i="2" s="1"/>
  <c r="D24" i="2" s="1"/>
  <c r="E24" i="2" s="1"/>
  <c r="E20" i="6"/>
  <c r="D21" i="6" s="1"/>
  <c r="F27" i="4"/>
  <c r="E28" i="4" s="1"/>
  <c r="D25" i="2" l="1"/>
  <c r="E25" i="2" s="1"/>
  <c r="E21" i="6"/>
  <c r="D22" i="6" s="1"/>
  <c r="E22" i="6" s="1"/>
  <c r="D23" i="6" s="1"/>
  <c r="E23" i="6" s="1"/>
  <c r="D24" i="6" s="1"/>
  <c r="E24" i="6" s="1"/>
  <c r="F28" i="4"/>
  <c r="D26" i="2" l="1"/>
  <c r="E26" i="2" s="1"/>
  <c r="D27" i="2" s="1"/>
  <c r="E27" i="2" s="1"/>
  <c r="D28" i="2" l="1"/>
  <c r="E28" i="2" s="1"/>
  <c r="D29" i="2" l="1"/>
  <c r="E29" i="2" s="1"/>
  <c r="D30" i="2" s="1"/>
  <c r="E30" i="2" s="1"/>
  <c r="D31" i="2" l="1"/>
  <c r="E31" i="2" s="1"/>
  <c r="D32" i="2" l="1"/>
  <c r="E32" i="2" s="1"/>
  <c r="D33" i="2" l="1"/>
  <c r="E3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A6" authorId="0" shapeId="0" xr:uid="{00000000-0006-0000-0000-000001000000}">
      <text>
        <r>
          <rPr>
            <sz val="10"/>
            <rFont val="Arial"/>
            <family val="2"/>
          </rPr>
          <t xml:space="preserve">Debe de indicar la Gerencia General a la cual pertenece la persona responsable de la solicitud
</t>
        </r>
      </text>
    </comment>
    <comment ref="C6" authorId="0" shapeId="0" xr:uid="{00000000-0006-0000-0000-000008000000}">
      <text>
        <r>
          <rPr>
            <sz val="10"/>
            <rFont val="Arial"/>
            <family val="2"/>
          </rPr>
          <t xml:space="preserve">Indicar Gerencia a la cual pertenece solicitante del cambio 
</t>
        </r>
      </text>
    </comment>
    <comment ref="E6" authorId="0" shapeId="0" xr:uid="{00000000-0006-0000-0000-00000A000000}">
      <text>
        <r>
          <rPr>
            <sz val="10"/>
            <rFont val="Arial"/>
            <family val="2"/>
          </rPr>
          <t xml:space="preserve">Indicar Coordinacion del responsable del cambio si aplica.
</t>
        </r>
      </text>
    </comment>
    <comment ref="A10" authorId="0" shapeId="0" xr:uid="{00000000-0006-0000-0000-000002000000}">
      <text>
        <r>
          <rPr>
            <sz val="10"/>
            <rFont val="Arial"/>
            <family val="2"/>
          </rPr>
          <t xml:space="preserve">Debe de indicar la Gerencia General a la cual pertenece la persona que va ejecutar el trabajo.
</t>
        </r>
      </text>
    </comment>
    <comment ref="C10" authorId="0" shapeId="0" xr:uid="{00000000-0006-0000-0000-000009000000}">
      <text>
        <r>
          <rPr>
            <sz val="10"/>
            <rFont val="Arial"/>
            <family val="2"/>
          </rPr>
          <t xml:space="preserve">Indicar Gerencia a la cual pertenece. 
</t>
        </r>
      </text>
    </comment>
    <comment ref="E10" authorId="0" shapeId="0" xr:uid="{00000000-0006-0000-0000-00000B000000}">
      <text>
        <r>
          <rPr>
            <sz val="10"/>
            <rFont val="Arial"/>
            <family val="2"/>
          </rPr>
          <t xml:space="preserve">Indicar Coordinacion que pertenece si aplica.
</t>
        </r>
      </text>
    </comment>
    <comment ref="A17" authorId="0" shapeId="0" xr:uid="{00000000-0006-0000-0000-000003000000}">
      <text>
        <r>
          <rPr>
            <sz val="10"/>
            <rFont val="Arial"/>
            <family val="2"/>
          </rPr>
          <t xml:space="preserve">Resumen de manera clara el cambio que se propone a ejecutar, haciendo énfasis en los aspectos relevantes del cambio, elemento de red, y localidad.
</t>
        </r>
      </text>
    </comment>
    <comment ref="A20" authorId="0" shapeId="0" xr:uid="{00000000-0006-0000-0000-000004000000}">
      <text>
        <r>
          <rPr>
            <sz val="10"/>
            <rFont val="Arial"/>
            <family val="2"/>
          </rPr>
          <t>Argumentar la solicitud del cambio que desea realizar se debe describir de manera clara lo que se propone a ejecutar, haciendo énfasis en los aspectos relevantes del cambio.</t>
        </r>
      </text>
    </comment>
    <comment ref="A21" authorId="0" shapeId="0" xr:uid="{00000000-0006-0000-0000-000005000000}">
      <text>
        <r>
          <rPr>
            <sz val="10"/>
            <rFont val="Arial"/>
            <family val="2"/>
          </rPr>
          <t>Responsable del Control del Cambio</t>
        </r>
      </text>
    </comment>
    <comment ref="A27" authorId="0" shapeId="0" xr:uid="{00000000-0006-0000-0000-000006000000}">
      <text>
        <r>
          <rPr>
            <sz val="10"/>
            <rFont val="Arial"/>
            <family val="2"/>
          </rPr>
          <t xml:space="preserve">Señale los nombres con que se identifican habitualmente los equipos, Servicios,  aplicaciones, bases de datos, entre otros que se van a intervenir directamente durante la ejecución del cambio.
</t>
        </r>
      </text>
    </comment>
    <comment ref="A30" authorId="0" shapeId="0" xr:uid="{00000000-0006-0000-0000-000007000000}">
      <text>
        <r>
          <rPr>
            <sz val="10"/>
            <rFont val="Arial"/>
            <family val="2"/>
          </rPr>
          <t xml:space="preserve">En caso de que el trabajo sea en sitio, se debe indicar region, edificio, pisos, y salas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C3" authorId="0" shapeId="0" xr:uid="{00000000-0006-0000-0100-000001000000}">
      <text>
        <r>
          <rPr>
            <sz val="10"/>
            <rFont val="Arial"/>
            <family val="2"/>
          </rPr>
          <t xml:space="preserve">Por favor, describa a continuación el plan de trabajo concebido para la ejecución del cambio propuesto identificando: Descripción de la actividad, duración, si tiene afectacion de servicio y los responsables de dicha tarea. se deben de agregar las tareas por día no mayor a 12 horas. Las actividades deben guardar un orden secuencial y lógico desde el punto de vista de su ejecución.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D7" authorId="0" shapeId="0" xr:uid="{00000000-0006-0000-0200-000003000000}">
      <text>
        <r>
          <rPr>
            <sz val="10"/>
            <rFont val="Arial"/>
            <family val="2"/>
          </rPr>
          <t xml:space="preserve">Por favor debe de Marcar unas de las casillas del tipo de afectacion.
</t>
        </r>
      </text>
    </comment>
    <comment ref="A16" authorId="0" shapeId="0" xr:uid="{00000000-0006-0000-0200-000001000000}">
      <text>
        <r>
          <rPr>
            <sz val="10"/>
            <rFont val="Arial"/>
            <family val="2"/>
          </rPr>
          <t xml:space="preserve">Describir con nombre el equipo a intervenir 
</t>
        </r>
      </text>
    </comment>
    <comment ref="C16" authorId="0" shapeId="0" xr:uid="{00000000-0006-0000-0200-000002000000}">
      <text>
        <r>
          <rPr>
            <sz val="10"/>
            <rFont val="Arial"/>
            <family val="2"/>
          </rPr>
          <t xml:space="preserve">Indicar si se encuentra en funcionamiento dicho equipo 
</t>
        </r>
      </text>
    </comment>
    <comment ref="E16" authorId="0" shapeId="0" xr:uid="{00000000-0006-0000-0200-000004000000}">
      <text>
        <r>
          <rPr>
            <sz val="10"/>
            <rFont val="Arial"/>
            <family val="2"/>
          </rPr>
          <t xml:space="preserve">Indicar plataformas o servicios que se enecuentran en esos  equipos asociados . 
</t>
        </r>
      </text>
    </comment>
    <comment ref="F16" authorId="0" shapeId="0" xr:uid="{00000000-0006-0000-0200-000005000000}">
      <text>
        <r>
          <rPr>
            <sz val="10"/>
            <rFont val="Arial"/>
            <family val="2"/>
          </rPr>
          <t xml:space="preserve">Indicar si dichas plataforma y servicios estan en funcinamiento.
</t>
        </r>
      </text>
    </comment>
    <comment ref="G16" authorId="0" shapeId="0" xr:uid="{00000000-0006-0000-0200-000006000000}">
      <text>
        <r>
          <rPr>
            <sz val="10"/>
            <rFont val="Arial"/>
            <family val="2"/>
          </rPr>
          <t xml:space="preserve">Unidad responsable a intervenir dichos equipos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C3" authorId="0" shapeId="0" xr:uid="{00000000-0006-0000-0300-000002000000}">
      <text>
        <r>
          <rPr>
            <sz val="10"/>
            <rFont val="Arial"/>
            <family val="2"/>
          </rPr>
          <t xml:space="preserve">Este debe de estar contemplado antes de la finalizacion descrita en el plan de trabajo 
</t>
        </r>
      </text>
    </comment>
    <comment ref="A12" authorId="0" shapeId="0" xr:uid="{00000000-0006-0000-0300-000001000000}">
      <text>
        <r>
          <rPr>
            <sz val="10"/>
            <rFont val="Arial"/>
            <family val="2"/>
          </rPr>
          <t xml:space="preserve">Describir el plan de regreso con los items abajo mencionados.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C3" authorId="0" shapeId="0" xr:uid="{00000000-0006-0000-0400-000001000000}">
      <text>
        <r>
          <rPr>
            <sz val="10"/>
            <rFont val="Arial"/>
            <family val="2"/>
          </rPr>
          <t xml:space="preserve">Indicar si se tiene un plan de respaldo o contingencia  a la hora de presentarse un inconveniente que no permite continuar con la actividad.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ljimen03</author>
  </authors>
  <commentList>
    <comment ref="C3" authorId="0" shapeId="0" xr:uid="{00000000-0006-0000-0500-000001000000}">
      <text>
        <r>
          <rPr>
            <sz val="10"/>
            <rFont val="Arial"/>
            <family val="2"/>
          </rPr>
          <t xml:space="preserve">Describir las pruebas al realizar antes, durante y despues de la ventana 
</t>
        </r>
      </text>
    </comment>
  </commentList>
</comments>
</file>

<file path=xl/sharedStrings.xml><?xml version="1.0" encoding="utf-8"?>
<sst xmlns="http://schemas.openxmlformats.org/spreadsheetml/2006/main" count="245" uniqueCount="135">
  <si>
    <t>SOLICITUD DE CAMBIO PROGRAMADO</t>
  </si>
  <si>
    <t xml:space="preserve">UNIDAD SOLICITANTE RESPONSABLE </t>
  </si>
  <si>
    <t>Gerencia General</t>
  </si>
  <si>
    <t>Gerencia</t>
  </si>
  <si>
    <t>Coordinación</t>
  </si>
  <si>
    <t>Liberación e Implementación de Soluciones TI</t>
  </si>
  <si>
    <t>Gestión de Liberación de Soluciones TI</t>
  </si>
  <si>
    <t>Liberación y Seguimiento a la Gestión del Cambio de Soluciones TI</t>
  </si>
  <si>
    <t xml:space="preserve">UNIDAD EJECUTANTE RESPONSABLE </t>
  </si>
  <si>
    <t>SOPORTE OPERACIONAL TI</t>
  </si>
  <si>
    <t>GESTIÓN DE PRODUCCIÓN TI</t>
  </si>
  <si>
    <t>PROCESOS DEL NEGOCIO</t>
  </si>
  <si>
    <t>DATOS  GENERALES</t>
  </si>
  <si>
    <t>DESCRIPCION DEL CAMBIO</t>
  </si>
  <si>
    <t>JUSTIFICACION DEL CAMBIO</t>
  </si>
  <si>
    <t>La solicitud responde al cumplimiento al 100% de la meta comercial y volumen de captación/migración establecido para esta oferta. En vista de haber alcanzado el techo de suscriptores proyectado en la evaluación económica, se requiere ocultar del catálogo activo para proteger el margen del producto, garantizar la calidad de servicio de la base instalada y dar paso a la siguiente fase de la oferta comercial.</t>
  </si>
  <si>
    <t>RESPONSABLES POR MOVILNET</t>
  </si>
  <si>
    <t>RESPONSABLE SOLICITANTE</t>
  </si>
  <si>
    <t>MOVIL</t>
  </si>
  <si>
    <t>Juan García</t>
  </si>
  <si>
    <t>RESPONSABLE EJECUTANTE</t>
  </si>
  <si>
    <t>Victor Farías</t>
  </si>
  <si>
    <t>INDIQUE SERVICIOS O PLATAFORMAS DISPONIBLES PARA EL CAMBIO</t>
  </si>
  <si>
    <t>PRN</t>
  </si>
  <si>
    <t xml:space="preserve">UBICACIÓN FISICA DEL CAMBIO </t>
  </si>
  <si>
    <t>C.C. El Recreo, Torre MOVILNET, Piso 02</t>
  </si>
  <si>
    <t>PLAN DE TRABAJO</t>
  </si>
  <si>
    <t>N°</t>
  </si>
  <si>
    <t>ACTIVIDAD</t>
  </si>
  <si>
    <t>FECHA Y HORA DE INICIO</t>
  </si>
  <si>
    <t>FECHA Y HORA FIN</t>
  </si>
  <si>
    <t>APLICA AFECTACION DE SERVICIO</t>
  </si>
  <si>
    <t>RESPONSABLE</t>
  </si>
  <si>
    <t>OBSERVACIONES</t>
  </si>
  <si>
    <t>SI</t>
  </si>
  <si>
    <t>NO</t>
  </si>
  <si>
    <t>ACTIVIDADES PREVIAS A LA VENTANA DE CAMBIO</t>
  </si>
  <si>
    <t>Respaldar Paquetes de la base de datos (PRN PRODUCCION)</t>
  </si>
  <si>
    <t>X</t>
  </si>
  <si>
    <t>Coord. de Procesos de Negocio (CPN)  //Victor Farías // 04128186298</t>
  </si>
  <si>
    <t>Soporte de Aplicaciones para Gestión de Clientes valida a nivel de traza de log operatividad de aplicativo OVAM y GUI RTB</t>
  </si>
  <si>
    <t>Soporte de Aplicaciones para Gestión de Clientes // Antonio Ruiz        // 04245977038</t>
  </si>
  <si>
    <t>ACTIVIDADES DURANTE LA VENTANA DE CAMBIO</t>
  </si>
  <si>
    <t xml:space="preserve">Llamar al COR para activación de ticket para  inicio de Ventana </t>
  </si>
  <si>
    <t>Coordinación de Implementación //Andrew Andrade // 04247182016</t>
  </si>
  <si>
    <t>Enviar Correo de Inicio de Ventana.</t>
  </si>
  <si>
    <t>Fin de Prueba # 2. Se notifica a los involucrados resultado de la prueba y se envía evidencia</t>
  </si>
  <si>
    <t>Fin de Prueba # 3 Se notifica a los involucrados resultado de la prueba y se envía evidencia</t>
  </si>
  <si>
    <t>Fin de Prueba # 4 Se notifica a los involucrados resultado de la prueba y se envía evidencia</t>
  </si>
  <si>
    <t>Soporte de Aplicaciones para Gestión de Clientes Valida a nivel de traza de log operatividad de aplicativo OVAM y GUI RTB</t>
  </si>
  <si>
    <t>Soporte de Aplicaciones para Gestión de Clientes notifica a la Coord. Implementación que el aplicativo se encuentra operativo</t>
  </si>
  <si>
    <t>Llamar al COR y VPTI Notificando fin de Ventana</t>
  </si>
  <si>
    <t>EVALUACION DEL IMPACTO Y EL RIESGO</t>
  </si>
  <si>
    <t>TIPO DE AFECTACION</t>
  </si>
  <si>
    <t>Sin Afectación</t>
  </si>
  <si>
    <t>( )</t>
  </si>
  <si>
    <t>Intermitencia</t>
  </si>
  <si>
    <t>Afectacion Parcial</t>
  </si>
  <si>
    <t>Afectaciòn Total</t>
  </si>
  <si>
    <t>(X)</t>
  </si>
  <si>
    <t>EQUIPO(S) A INTERVENIR</t>
  </si>
  <si>
    <t>EQUIPOS</t>
  </si>
  <si>
    <t>FUNCIONAL</t>
  </si>
  <si>
    <t>SERVICIOS Y/O PLATAFORMAS ASOCIADAS:</t>
  </si>
  <si>
    <t>UNIDAD RESPONSABLE</t>
  </si>
  <si>
    <t>Base Datos PRN</t>
  </si>
  <si>
    <t>Operativo</t>
  </si>
  <si>
    <t>PRNDB</t>
  </si>
  <si>
    <t>Aplicativo GUI-RTB</t>
  </si>
  <si>
    <t>GUI RTB</t>
  </si>
  <si>
    <t>PLAN DE REGRESO</t>
  </si>
  <si>
    <t>DE NO APLICAR JUSTIFIQUE</t>
  </si>
  <si>
    <t>DE APLICAR LLENAR LOS CAMPOS</t>
  </si>
  <si>
    <t>FECHA Y HORA INICIO</t>
  </si>
  <si>
    <t>Notificar  a la Coordinación de Proceso de Negocio dar inicio al plan de regreso</t>
  </si>
  <si>
    <t>Proceso del Negocio Notifica a la coord. de Implementación que termino con el plan de Regreso en el esquema PRN_PRODUCCION</t>
  </si>
  <si>
    <t>La Coordinacion de Implementacion notifica fin de las Pruebas #1, se envia evidencia</t>
  </si>
  <si>
    <t>Notificar a Soporte de Aplicaciones para Gestión de Clientes validar a nivel de traza de log operatividad de aplicativo GUI-RTB</t>
  </si>
  <si>
    <r>
      <rPr>
        <sz val="10"/>
        <color theme="1"/>
        <rFont val="Verdana"/>
        <family val="2"/>
        <charset val="1"/>
      </rPr>
      <t xml:space="preserve">Soporte de Aplicaciones para Gestión de Clientes realiza las Validaciones a nivel de traza de Log la Funcionalidad del aplicativo </t>
    </r>
    <r>
      <rPr>
        <sz val="10"/>
        <color theme="1"/>
        <rFont val="Verdana"/>
        <family val="2"/>
      </rPr>
      <t>GUI-RTB</t>
    </r>
  </si>
  <si>
    <t>PLAN DE RESPALDO O CONTINGENCIA</t>
  </si>
  <si>
    <t>PLAN DE PRUEBAS</t>
  </si>
  <si>
    <t>Nombre del Sistema:</t>
  </si>
  <si>
    <t>Tipo de Prueba:</t>
  </si>
  <si>
    <t>(  ) Unitarias</t>
  </si>
  <si>
    <t>(  ) Integrales</t>
  </si>
  <si>
    <t>(  )  Stress</t>
  </si>
  <si>
    <t>(X)  Aceptacion</t>
  </si>
  <si>
    <t>Módulo:</t>
  </si>
  <si>
    <t>Cambio de Plan- Activacion de linea</t>
  </si>
  <si>
    <t>Fecha:</t>
  </si>
  <si>
    <t>Hora:</t>
  </si>
  <si>
    <t>PRUEBAS TECNICAS</t>
  </si>
  <si>
    <t>ACTIVIDADES</t>
  </si>
  <si>
    <t>INICIO</t>
  </si>
  <si>
    <t>FIN</t>
  </si>
  <si>
    <t>RESULTADO ESPERADO</t>
  </si>
  <si>
    <t>RESULTADO OBTENIDO</t>
  </si>
  <si>
    <t>N/A</t>
  </si>
  <si>
    <r>
      <t>Notificar a Procesos del Negocio que puede ejecutar los pasos para la ventana:</t>
    </r>
    <r>
      <rPr>
        <b/>
        <sz val="10"/>
        <color rgb="FF000000"/>
        <rFont val="Verdana"/>
        <family val="2"/>
        <charset val="1"/>
      </rPr>
      <t xml:space="preserve"> Restringir Plan Comercial Datos Ilimitados Prepago Natural - PRN</t>
    </r>
  </si>
  <si>
    <r>
      <t xml:space="preserve">Inicio de Prueba # 1 (Activación de una Linea Nueva con el plan </t>
    </r>
    <r>
      <rPr>
        <b/>
        <sz val="10"/>
        <color rgb="FF000000"/>
        <rFont val="Verdana"/>
        <family val="2"/>
      </rPr>
      <t xml:space="preserve">Datos Ilimitados en la GUI RTB) </t>
    </r>
    <r>
      <rPr>
        <sz val="10"/>
        <color rgb="FF000000"/>
        <rFont val="Verdana"/>
        <family val="2"/>
        <charset val="1"/>
      </rPr>
      <t xml:space="preserve"> (PrepayID Aeropuerto)</t>
    </r>
  </si>
  <si>
    <r>
      <t xml:space="preserve">Inicio de Prueba # 2 (Activación de una Linea Nueva con el plan </t>
    </r>
    <r>
      <rPr>
        <b/>
        <sz val="10"/>
        <color rgb="FF000000"/>
        <rFont val="Verdana"/>
        <family val="2"/>
      </rPr>
      <t xml:space="preserve">Datos Ilimitados en la GUI RTB) </t>
    </r>
    <r>
      <rPr>
        <sz val="10"/>
        <color rgb="FF000000"/>
        <rFont val="Verdana"/>
        <family val="2"/>
        <charset val="1"/>
      </rPr>
      <t xml:space="preserve"> </t>
    </r>
    <r>
      <rPr>
        <sz val="10"/>
        <color rgb="FF000000"/>
        <rFont val="Verdana"/>
        <family val="2"/>
      </rPr>
      <t xml:space="preserve"> (PrepayID diferente Aeropuerto)</t>
    </r>
  </si>
  <si>
    <t>Fin de Prueba # 1 Se notifica a los involucrados resultado de la prueba y se envía evidencia</t>
  </si>
  <si>
    <r>
      <t xml:space="preserve">Inicio de Prueba # 4 (Cambio de plan del </t>
    </r>
    <r>
      <rPr>
        <b/>
        <sz val="10"/>
        <color rgb="FF000000"/>
        <rFont val="Verdana"/>
        <family val="2"/>
      </rPr>
      <t>Datos Ilimitados a cualquier plan disponible en la Grilla por RTB-OVAM – AUTOGESTION – BOT  TELEGRAM)</t>
    </r>
  </si>
  <si>
    <r>
      <t xml:space="preserve">Inicio de Prueba # 3 (Cambio de plan del </t>
    </r>
    <r>
      <rPr>
        <b/>
        <sz val="10"/>
        <color rgb="FF000000"/>
        <rFont val="Verdana"/>
        <family val="2"/>
      </rPr>
      <t>Datos Ilimitados al plan al Mega Plus 12 por GUI-RTB - OVAM – AUTOGESTION – BOT TELEGRAM)</t>
    </r>
  </si>
  <si>
    <r>
      <t xml:space="preserve">Procesos del Negocio ejecuta las actividades para </t>
    </r>
    <r>
      <rPr>
        <b/>
        <sz val="10"/>
        <color rgb="FF000000"/>
        <rFont val="Verdana"/>
        <family val="2"/>
      </rPr>
      <t>Restringir el</t>
    </r>
    <r>
      <rPr>
        <b/>
        <sz val="10"/>
        <color rgb="FF000000"/>
        <rFont val="Verdana"/>
        <family val="2"/>
        <charset val="1"/>
      </rPr>
      <t xml:space="preserve"> Plan Comercial Datos Ilimitados Prepago Natural - PRN</t>
    </r>
  </si>
  <si>
    <r>
      <t>Procesos del Negocio notifica a Coord. Implementación que se realizaron las actividades para</t>
    </r>
    <r>
      <rPr>
        <b/>
        <sz val="10"/>
        <color rgb="FF000000"/>
        <rFont val="Verdana"/>
        <family val="2"/>
        <charset val="1"/>
      </rPr>
      <t xml:space="preserve"> </t>
    </r>
    <r>
      <rPr>
        <b/>
        <sz val="10"/>
        <color rgb="FF000000"/>
        <rFont val="Verdana"/>
        <family val="2"/>
      </rPr>
      <t>Restringir</t>
    </r>
    <r>
      <rPr>
        <b/>
        <sz val="10"/>
        <color rgb="FF000000"/>
        <rFont val="Verdana"/>
        <family val="2"/>
        <charset val="1"/>
      </rPr>
      <t xml:space="preserve"> el Plan Comercial Datos Ilimitados Prepago Natural- PRN</t>
    </r>
  </si>
  <si>
    <t>Procesos de Negocio restaura los paquetes con el respaldo que se realizo en el paso #1 de las actividades previas descritas en el Plan de Trabajo.</t>
  </si>
  <si>
    <t>Procesos del Negocio Verifica que el respaldo se haya cargado correctamente en la BD de PRN</t>
  </si>
  <si>
    <t>Notificar a Soporte de Aplicaciones para Gestión de Clientes que valide a nivel de traza de log operatividad de aplicativo OVAM y GUI RTB</t>
  </si>
  <si>
    <t>Restingir el Plan Comercial Datos Ilimitados Prepago Natural- PRN</t>
  </si>
  <si>
    <t xml:space="preserve">Respaldar los paquetes de la BD (PRN PRODUCCION) </t>
  </si>
  <si>
    <t>Solicitar a la Coordinación de Plataforma de Aplicaciones el reinicio de OVAM</t>
  </si>
  <si>
    <t>Coordinación de Implementación //Daniel Medina  // 04123539661</t>
  </si>
  <si>
    <t>Coordinación de Plataforma de Aplicaciones ejecuta el Reinicio de OVAM</t>
  </si>
  <si>
    <t>Coordinación de Plataforma de Aplicaciones //Hillary Blanco // 04143871452</t>
  </si>
  <si>
    <t xml:space="preserve">Notificar a la Coord. Implementación que ya se realizó el reinicio de OVAM </t>
  </si>
  <si>
    <t>Fin de Prueba # 5. Se notifica a los involucrados resultado de la prueba y se envía evidencia</t>
  </si>
  <si>
    <r>
      <t xml:space="preserve">Inicio de Pruebas # 5 (No Visualización del plan </t>
    </r>
    <r>
      <rPr>
        <b/>
        <sz val="11"/>
        <color rgb="FF000000"/>
        <rFont val="Verdana"/>
        <family val="2"/>
        <charset val="1"/>
      </rPr>
      <t xml:space="preserve"> Datos Ilimitados</t>
    </r>
    <r>
      <rPr>
        <sz val="11"/>
        <color rgb="FF000000"/>
        <rFont val="Verdana"/>
        <family val="2"/>
        <charset val="1"/>
      </rPr>
      <t xml:space="preserve"> en la grilla comercial de OVAM) para cambio de plan. (Entrante)</t>
    </r>
  </si>
  <si>
    <t>Aplicativo OVAM</t>
  </si>
  <si>
    <t xml:space="preserve">OVAM
</t>
  </si>
  <si>
    <t>Coordinación de Configuración y Transporte //Hillary Blanco // 04143871452</t>
  </si>
  <si>
    <t>Notificar a la Coordinación de Plataforma de Aplicaciones que puede realizar el Reinicio de OVAM</t>
  </si>
  <si>
    <t>La Coordinación de Plataforma de Aplicaciones Ejecuta el reinicio de OVAM.</t>
  </si>
  <si>
    <t>Coordinación de Plataforma de Aplicaciones notifica a la Coordinación de Implementación que el reinicio de OVAM se realizo de manera exitosa.</t>
  </si>
  <si>
    <r>
      <t xml:space="preserve">Inicio de Prueba # 1 (Activación de una Linea Nueva) Con el plan </t>
    </r>
    <r>
      <rPr>
        <b/>
        <sz val="10"/>
        <color rgb="FF000000"/>
        <rFont val="Verdana"/>
        <family val="2"/>
      </rPr>
      <t>Datos Ilimitados en la GUI RTB</t>
    </r>
  </si>
  <si>
    <t>La Coordinacion de Implementacion notifica fin de las Pruebas #2, se envia evidencia</t>
  </si>
  <si>
    <r>
      <t>Inicio de Prueba # 2 (Visualización del Plan</t>
    </r>
    <r>
      <rPr>
        <sz val="10"/>
        <color theme="1"/>
        <rFont val="Verdana"/>
        <family val="2"/>
      </rPr>
      <t xml:space="preserve"> </t>
    </r>
    <r>
      <rPr>
        <b/>
        <sz val="10"/>
        <color theme="1"/>
        <rFont val="Verdana"/>
        <family val="2"/>
      </rPr>
      <t>Datos Ilimitados</t>
    </r>
    <r>
      <rPr>
        <sz val="11"/>
        <color theme="1"/>
        <rFont val="Verdana"/>
        <family val="2"/>
        <charset val="1"/>
      </rPr>
      <t xml:space="preserve"> en la grilla de OVAM para cambio de plan</t>
    </r>
  </si>
  <si>
    <r>
      <t xml:space="preserve">Inicio de Prueba # |1 (Activación de una Linea Nueva con el plan </t>
    </r>
    <r>
      <rPr>
        <b/>
        <sz val="10"/>
        <color rgb="FF000000"/>
        <rFont val="Verdana"/>
        <family val="2"/>
      </rPr>
      <t xml:space="preserve">Datos Ilimitados en la GUI RTB) </t>
    </r>
    <r>
      <rPr>
        <sz val="10"/>
        <color rgb="FF000000"/>
        <rFont val="Verdana"/>
        <family val="2"/>
      </rPr>
      <t xml:space="preserve"> (PrepayID Aeropuerto)</t>
    </r>
  </si>
  <si>
    <r>
      <t xml:space="preserve">Inicio de Prueba # 2 (Activación de una Linea Nueva con el plan </t>
    </r>
    <r>
      <rPr>
        <b/>
        <sz val="10"/>
        <color rgb="FF000000"/>
        <rFont val="Verdana"/>
        <family val="2"/>
      </rPr>
      <t xml:space="preserve">Datos Ilimitados en la GUI RTB) </t>
    </r>
    <r>
      <rPr>
        <sz val="10"/>
        <color rgb="FF000000"/>
        <rFont val="Verdana"/>
        <family val="2"/>
      </rPr>
      <t xml:space="preserve">  (PrepayID diferente Aeropuerto)</t>
    </r>
  </si>
  <si>
    <r>
      <t xml:space="preserve">Inicio de Pruebas # 5 (No Visualización del plan </t>
    </r>
    <r>
      <rPr>
        <b/>
        <sz val="10"/>
        <color rgb="FF000000"/>
        <rFont val="Verdana"/>
        <family val="2"/>
      </rPr>
      <t xml:space="preserve"> Datos Ilimitados</t>
    </r>
    <r>
      <rPr>
        <sz val="10"/>
        <color rgb="FF000000"/>
        <rFont val="Verdana"/>
        <family val="2"/>
      </rPr>
      <t xml:space="preserve"> en la grilla comercial de OVAM) para cambio de plan. (Entrante)</t>
    </r>
  </si>
  <si>
    <r>
      <t xml:space="preserve">El resultado es la </t>
    </r>
    <r>
      <rPr>
        <b/>
        <sz val="10"/>
        <rFont val="Verdana"/>
        <family val="2"/>
      </rPr>
      <t>RESTRICCIÓN</t>
    </r>
    <r>
      <rPr>
        <sz val="10"/>
        <rFont val="Verdana"/>
        <family val="2"/>
      </rPr>
      <t xml:space="preserve"> de la activación del Plan </t>
    </r>
    <r>
      <rPr>
        <b/>
        <sz val="10"/>
        <rFont val="Verdana"/>
        <family val="2"/>
      </rPr>
      <t>DATOS ILIMITADOS</t>
    </r>
    <r>
      <rPr>
        <sz val="10"/>
        <rFont val="Verdana"/>
        <family val="2"/>
      </rPr>
      <t xml:space="preserve"> en OVAM y GUI-RTB  (a excepción de 2 PREPAYID del Aeropuerto en GUI-RTB).</t>
    </r>
  </si>
  <si>
    <r>
      <t>El resultado es que el Aplicativo GUI-RTB</t>
    </r>
    <r>
      <rPr>
        <b/>
        <sz val="10"/>
        <color rgb="FF000000"/>
        <rFont val="Verdana"/>
        <family val="2"/>
      </rPr>
      <t xml:space="preserve"> NO Permita</t>
    </r>
    <r>
      <rPr>
        <sz val="10"/>
        <color rgb="FF000000"/>
        <rFont val="Verdana"/>
        <family val="2"/>
      </rPr>
      <t xml:space="preserve"> la creacion de la Linea</t>
    </r>
  </si>
  <si>
    <r>
      <t>El resultado es que el Aplicativo</t>
    </r>
    <r>
      <rPr>
        <b/>
        <sz val="10"/>
        <color rgb="FF000000"/>
        <rFont val="Verdana"/>
        <family val="2"/>
      </rPr>
      <t xml:space="preserve"> Permita</t>
    </r>
    <r>
      <rPr>
        <sz val="10"/>
        <color rgb="FF000000"/>
        <rFont val="Verdana"/>
        <family val="2"/>
      </rPr>
      <t xml:space="preserve"> el cambio de plan del </t>
    </r>
    <r>
      <rPr>
        <b/>
        <sz val="10"/>
        <rFont val="Verdana"/>
        <family val="2"/>
      </rPr>
      <t xml:space="preserve">DATOS ILIMITADOS </t>
    </r>
    <r>
      <rPr>
        <sz val="10"/>
        <rFont val="Verdana"/>
        <family val="2"/>
      </rPr>
      <t xml:space="preserve">al plan </t>
    </r>
    <r>
      <rPr>
        <b/>
        <sz val="10"/>
        <rFont val="Verdana"/>
        <family val="2"/>
      </rPr>
      <t xml:space="preserve">MEGA PLUS 12 </t>
    </r>
    <r>
      <rPr>
        <b/>
        <sz val="10"/>
        <color rgb="FF000000"/>
        <rFont val="Verdana"/>
        <family val="2"/>
      </rPr>
      <t>por RTB-OVAM – AUTOGESTION – BOT  TELEGRAM</t>
    </r>
  </si>
  <si>
    <r>
      <t>El resultado es que el Aplicativo</t>
    </r>
    <r>
      <rPr>
        <b/>
        <sz val="10"/>
        <color rgb="FF000000"/>
        <rFont val="Verdana"/>
        <family val="2"/>
      </rPr>
      <t xml:space="preserve"> NO Permita</t>
    </r>
    <r>
      <rPr>
        <sz val="10"/>
        <color rgb="FF000000"/>
        <rFont val="Verdana"/>
        <family val="2"/>
      </rPr>
      <t xml:space="preserve"> el cambio de plan del </t>
    </r>
    <r>
      <rPr>
        <b/>
        <sz val="10"/>
        <rFont val="Verdana"/>
        <family val="2"/>
      </rPr>
      <t xml:space="preserve">DATOS ILIMITADOS </t>
    </r>
    <r>
      <rPr>
        <sz val="10"/>
        <rFont val="Verdana"/>
        <family val="2"/>
      </rPr>
      <t>a cualquier plan disponible en la grilla</t>
    </r>
    <r>
      <rPr>
        <b/>
        <sz val="10"/>
        <rFont val="Verdana"/>
        <family val="2"/>
      </rPr>
      <t xml:space="preserve"> </t>
    </r>
    <r>
      <rPr>
        <b/>
        <sz val="10"/>
        <color rgb="FF000000"/>
        <rFont val="Verdana"/>
        <family val="2"/>
      </rPr>
      <t>por RTB-OVAM – AUTOGESTION – BOT  TELEGRAM</t>
    </r>
  </si>
  <si>
    <r>
      <t xml:space="preserve">El resultado es la NO visualizacion del Plan </t>
    </r>
    <r>
      <rPr>
        <b/>
        <sz val="10"/>
        <color rgb="FF000000"/>
        <rFont val="Verdana"/>
        <family val="2"/>
      </rPr>
      <t>Datos Ilimitados</t>
    </r>
    <r>
      <rPr>
        <sz val="10"/>
        <rFont val="Verdana"/>
        <family val="2"/>
      </rPr>
      <t xml:space="preserve"> en la grilla comercial de OVAM, para cambio de plan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</si>
</sst>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hh:mm:ss\ AM/PM"/>
    <numFmt numFmtId="165" formatCode="dd/mm/yyyy;@"/>
    <numFmt numFmtId="166" formatCode="hh:mm\ AM/PM"/>
  </numFmts>
  <fonts count="35" x14ac:knownFonts="1">
    <font>
      <sz val="11"/>
      <color theme="1"/>
      <name val="Calibri"/>
      <family val="2"/>
      <charset val="1"/>
    </font>
    <font>
      <sz val="10"/>
      <name val="Arial"/>
      <family val="2"/>
      <charset val="1"/>
    </font>
    <font>
      <sz val="11"/>
      <color rgb="FF000000"/>
      <name val="Verdana"/>
      <family val="2"/>
      <charset val="1"/>
    </font>
    <font>
      <b/>
      <sz val="11"/>
      <color theme="0"/>
      <name val="Verdana"/>
      <family val="2"/>
      <charset val="1"/>
    </font>
    <font>
      <b/>
      <sz val="11"/>
      <color rgb="FF000000"/>
      <name val="Verdana"/>
      <family val="2"/>
      <charset val="1"/>
    </font>
    <font>
      <b/>
      <sz val="10"/>
      <name val="Verdana"/>
      <family val="2"/>
      <charset val="1"/>
    </font>
    <font>
      <b/>
      <sz val="10"/>
      <color rgb="FF000000"/>
      <name val="Verdana"/>
      <family val="2"/>
      <charset val="1"/>
    </font>
    <font>
      <sz val="8"/>
      <name val="Verdana"/>
      <family val="2"/>
      <charset val="1"/>
    </font>
    <font>
      <b/>
      <sz val="9"/>
      <name val="Verdana"/>
      <family val="2"/>
      <charset val="1"/>
    </font>
    <font>
      <sz val="9"/>
      <name val="Verdana"/>
      <family val="2"/>
      <charset val="1"/>
    </font>
    <font>
      <b/>
      <sz val="12"/>
      <color rgb="FF000000"/>
      <name val="Verdana"/>
      <family val="2"/>
      <charset val="1"/>
    </font>
    <font>
      <b/>
      <sz val="11"/>
      <name val="Verdana"/>
      <family val="2"/>
      <charset val="1"/>
    </font>
    <font>
      <sz val="10"/>
      <name val="Arial"/>
      <family val="2"/>
    </font>
    <font>
      <b/>
      <sz val="10"/>
      <color theme="1"/>
      <name val="Verdana"/>
      <family val="2"/>
      <charset val="1"/>
    </font>
    <font>
      <b/>
      <sz val="8"/>
      <color theme="1"/>
      <name val="Verdana"/>
      <family val="2"/>
      <charset val="1"/>
    </font>
    <font>
      <sz val="10"/>
      <color rgb="FF000000"/>
      <name val="Verdana"/>
      <family val="2"/>
      <charset val="1"/>
    </font>
    <font>
      <b/>
      <sz val="10"/>
      <color rgb="FF000000"/>
      <name val="Verdana"/>
      <family val="2"/>
    </font>
    <font>
      <sz val="10"/>
      <color rgb="FF000000"/>
      <name val="Verdana"/>
      <family val="2"/>
    </font>
    <font>
      <b/>
      <sz val="10"/>
      <color theme="0"/>
      <name val="Verdana"/>
      <family val="2"/>
      <charset val="1"/>
    </font>
    <font>
      <b/>
      <sz val="11"/>
      <color theme="1"/>
      <name val="Verdana"/>
      <family val="2"/>
      <charset val="1"/>
    </font>
    <font>
      <sz val="10"/>
      <color theme="1"/>
      <name val="Verdana"/>
      <family val="2"/>
      <charset val="1"/>
    </font>
    <font>
      <sz val="9"/>
      <color theme="1"/>
      <name val="Verdana"/>
      <family val="2"/>
      <charset val="1"/>
    </font>
    <font>
      <sz val="10"/>
      <color theme="1"/>
      <name val="Verdana"/>
      <family val="2"/>
    </font>
    <font>
      <b/>
      <sz val="11"/>
      <color rgb="FFFF0000"/>
      <name val="Verdana"/>
      <family val="2"/>
      <charset val="1"/>
    </font>
    <font>
      <b/>
      <sz val="11"/>
      <color rgb="FFFF0000"/>
      <name val="Calibri"/>
      <family val="2"/>
      <charset val="1"/>
    </font>
    <font>
      <sz val="10"/>
      <name val="Verdana"/>
      <family val="2"/>
      <charset val="1"/>
    </font>
    <font>
      <sz val="10"/>
      <name val="Verdana"/>
      <family val="2"/>
    </font>
    <font>
      <b/>
      <sz val="10"/>
      <name val="Verdana"/>
      <family val="2"/>
    </font>
    <font>
      <sz val="11"/>
      <color rgb="FF000000"/>
      <name val="Source Code Pro"/>
      <family val="3"/>
      <charset val="1"/>
    </font>
    <font>
      <sz val="14"/>
      <color rgb="FF000000"/>
      <name val="Arial Narrow"/>
      <family val="2"/>
      <charset val="1"/>
    </font>
    <font>
      <sz val="8"/>
      <name val="Calibri"/>
      <family val="2"/>
      <charset val="1"/>
    </font>
    <font>
      <sz val="11"/>
      <color theme="1"/>
      <name val="Verdana"/>
      <family val="2"/>
      <charset val="1"/>
    </font>
    <font>
      <b/>
      <sz val="10"/>
      <color theme="1"/>
      <name val="Verdana"/>
      <family val="2"/>
    </font>
    <font>
      <b/>
      <sz val="10"/>
      <color rgb="FFFF0000"/>
      <name val="Verdana"/>
      <family val="2"/>
    </font>
    <font>
      <b/>
      <sz val="10"/>
      <color rgb="FFFF0000"/>
      <name val="Verdana"/>
      <family val="2"/>
      <charset val="1"/>
    </font>
  </fonts>
  <fills count="6">
    <fill>
      <patternFill patternType="none"/>
    </fill>
    <fill>
      <patternFill patternType="gray125"/>
    </fill>
    <fill>
      <patternFill patternType="solid">
        <fgColor rgb="FFFF585F"/>
        <bgColor rgb="FFEC6458"/>
      </patternFill>
    </fill>
    <fill>
      <patternFill patternType="solid">
        <fgColor rgb="FFD5D6D2"/>
        <bgColor rgb="FFC0C0C0"/>
      </patternFill>
    </fill>
    <fill>
      <patternFill patternType="solid">
        <fgColor rgb="FFEC6458"/>
        <bgColor rgb="FFFF585F"/>
      </patternFill>
    </fill>
    <fill>
      <patternFill patternType="solid">
        <fgColor rgb="FFFFFFFF"/>
        <bgColor rgb="FFFFFFCC"/>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bottom/>
      <diagonal/>
    </border>
  </borders>
  <cellStyleXfs count="5">
    <xf numFmtId="0" fontId="0" fillId="0" borderId="0"/>
    <xf numFmtId="0" fontId="1" fillId="0" borderId="0"/>
    <xf numFmtId="0" fontId="1" fillId="0" borderId="0"/>
    <xf numFmtId="0" fontId="1" fillId="0" borderId="0"/>
    <xf numFmtId="0" fontId="1" fillId="0" borderId="0"/>
  </cellStyleXfs>
  <cellXfs count="162">
    <xf numFmtId="0" fontId="0" fillId="0" borderId="0" xfId="0"/>
    <xf numFmtId="0" fontId="2" fillId="0" borderId="0" xfId="0" applyFont="1" applyAlignment="1" applyProtection="1"/>
    <xf numFmtId="0" fontId="2" fillId="0" borderId="1" xfId="0" applyFont="1" applyBorder="1" applyAlignment="1" applyProtection="1"/>
    <xf numFmtId="0" fontId="7" fillId="0" borderId="0" xfId="2" applyFont="1" applyBorder="1" applyAlignment="1" applyProtection="1">
      <alignment vertical="center"/>
    </xf>
    <xf numFmtId="0" fontId="2" fillId="0" borderId="1" xfId="0" applyFont="1" applyBorder="1" applyAlignment="1" applyProtection="1">
      <alignment horizontal="center" vertical="center" wrapText="1"/>
    </xf>
    <xf numFmtId="0" fontId="2" fillId="0" borderId="1" xfId="0" applyFont="1" applyBorder="1" applyAlignment="1" applyProtection="1">
      <alignment horizontal="center" vertical="center"/>
    </xf>
    <xf numFmtId="0" fontId="2" fillId="0" borderId="0" xfId="0" applyFont="1" applyBorder="1" applyAlignment="1" applyProtection="1"/>
    <xf numFmtId="0" fontId="2" fillId="0" borderId="0" xfId="0" applyFont="1" applyAlignment="1" applyProtection="1">
      <alignment vertical="center"/>
    </xf>
    <xf numFmtId="0" fontId="2" fillId="0" borderId="0" xfId="0" applyFont="1" applyAlignment="1" applyProtection="1">
      <alignment horizontal="center" vertical="center"/>
    </xf>
    <xf numFmtId="0" fontId="13" fillId="3" borderId="1" xfId="0" applyFont="1" applyFill="1" applyBorder="1" applyAlignment="1" applyProtection="1">
      <alignment horizontal="center" vertical="center" wrapText="1"/>
    </xf>
    <xf numFmtId="0" fontId="14" fillId="3" borderId="1" xfId="0" applyFont="1" applyFill="1" applyBorder="1" applyAlignment="1" applyProtection="1">
      <alignment horizontal="center" vertical="center" wrapText="1"/>
    </xf>
    <xf numFmtId="0" fontId="15" fillId="0" borderId="0" xfId="0" applyFont="1" applyBorder="1" applyAlignment="1" applyProtection="1">
      <alignment vertical="center"/>
    </xf>
    <xf numFmtId="0" fontId="15" fillId="0" borderId="0" xfId="0" applyFont="1" applyAlignment="1" applyProtection="1">
      <alignment vertical="center"/>
    </xf>
    <xf numFmtId="164" fontId="15" fillId="0" borderId="6" xfId="0" applyNumberFormat="1" applyFont="1" applyBorder="1" applyAlignment="1" applyProtection="1">
      <alignment horizontal="center" vertical="center"/>
    </xf>
    <xf numFmtId="0" fontId="15" fillId="0" borderId="1" xfId="0" applyFont="1" applyBorder="1" applyAlignment="1" applyProtection="1">
      <alignment horizontal="center" vertical="center" wrapText="1"/>
    </xf>
    <xf numFmtId="0" fontId="2" fillId="0" borderId="0" xfId="0" applyFont="1" applyBorder="1" applyAlignment="1" applyProtection="1">
      <alignment vertical="center"/>
    </xf>
    <xf numFmtId="21" fontId="15" fillId="0" borderId="7" xfId="0" applyNumberFormat="1" applyFont="1" applyBorder="1" applyAlignment="1" applyProtection="1">
      <alignment horizontal="center" vertical="center"/>
    </xf>
    <xf numFmtId="21" fontId="15" fillId="0" borderId="1" xfId="0" applyNumberFormat="1" applyFont="1" applyBorder="1" applyAlignment="1" applyProtection="1">
      <alignment horizontal="center" vertical="center"/>
    </xf>
    <xf numFmtId="164" fontId="15" fillId="0" borderId="1" xfId="0" applyNumberFormat="1" applyFont="1" applyBorder="1" applyAlignment="1" applyProtection="1">
      <alignment horizontal="center" vertical="center"/>
    </xf>
    <xf numFmtId="0" fontId="6" fillId="0" borderId="0" xfId="0" applyFont="1" applyAlignment="1" applyProtection="1">
      <alignment vertical="center"/>
    </xf>
    <xf numFmtId="0" fontId="6" fillId="0" borderId="0" xfId="0" applyFont="1" applyBorder="1" applyAlignment="1" applyProtection="1">
      <alignment vertical="center" wrapText="1"/>
    </xf>
    <xf numFmtId="0" fontId="6" fillId="0" borderId="0" xfId="0" applyFont="1" applyBorder="1" applyAlignment="1" applyProtection="1">
      <alignment horizontal="center" vertical="center" wrapText="1"/>
    </xf>
    <xf numFmtId="0" fontId="15" fillId="0" borderId="1" xfId="0" applyFont="1" applyBorder="1" applyAlignment="1" applyProtection="1">
      <alignment horizontal="center" vertical="center"/>
    </xf>
    <xf numFmtId="0" fontId="15" fillId="0" borderId="9" xfId="0" applyFont="1" applyBorder="1" applyAlignment="1" applyProtection="1">
      <alignment horizontal="center" vertical="center"/>
    </xf>
    <xf numFmtId="0" fontId="15" fillId="0" borderId="0" xfId="0" applyFont="1" applyBorder="1" applyAlignment="1" applyProtection="1">
      <alignment horizontal="center" vertical="center"/>
    </xf>
    <xf numFmtId="0" fontId="13" fillId="3" borderId="2" xfId="0" applyFont="1" applyFill="1" applyBorder="1" applyAlignment="1" applyProtection="1">
      <alignment horizontal="center" vertical="center" wrapText="1"/>
    </xf>
    <xf numFmtId="0" fontId="13" fillId="3" borderId="1" xfId="0" applyFont="1" applyFill="1" applyBorder="1" applyAlignment="1" applyProtection="1">
      <alignment horizontal="center" vertical="center"/>
    </xf>
    <xf numFmtId="0" fontId="15" fillId="0" borderId="0" xfId="0" applyFont="1" applyBorder="1" applyAlignment="1" applyProtection="1">
      <alignment vertical="center" wrapText="1"/>
    </xf>
    <xf numFmtId="0" fontId="4" fillId="0" borderId="0" xfId="0" applyFont="1" applyAlignment="1" applyProtection="1">
      <alignment vertical="center"/>
    </xf>
    <xf numFmtId="0" fontId="2" fillId="0" borderId="0" xfId="0" applyFont="1" applyBorder="1" applyAlignment="1" applyProtection="1">
      <alignment horizontal="center" vertical="center"/>
    </xf>
    <xf numFmtId="0" fontId="14" fillId="3" borderId="1" xfId="0" applyFont="1" applyFill="1" applyBorder="1" applyAlignment="1" applyProtection="1">
      <alignment vertical="center"/>
    </xf>
    <xf numFmtId="0" fontId="14" fillId="3" borderId="1" xfId="0" applyFont="1" applyFill="1" applyBorder="1" applyAlignment="1" applyProtection="1">
      <alignment horizontal="center" vertical="center"/>
    </xf>
    <xf numFmtId="164" fontId="21" fillId="0" borderId="1" xfId="0" applyNumberFormat="1" applyFont="1" applyBorder="1" applyAlignment="1" applyProtection="1">
      <alignment horizontal="center" vertical="center"/>
    </xf>
    <xf numFmtId="21" fontId="2" fillId="0" borderId="0" xfId="0" applyNumberFormat="1" applyFont="1" applyAlignment="1" applyProtection="1">
      <alignment vertical="center"/>
    </xf>
    <xf numFmtId="0" fontId="2" fillId="0" borderId="1" xfId="0" applyFont="1" applyBorder="1" applyAlignment="1" applyProtection="1">
      <alignment vertical="center"/>
    </xf>
    <xf numFmtId="0" fontId="2" fillId="0" borderId="10" xfId="0" applyFont="1" applyBorder="1" applyAlignment="1" applyProtection="1">
      <alignment vertical="center"/>
    </xf>
    <xf numFmtId="0" fontId="4" fillId="0" borderId="10" xfId="0" applyFont="1" applyBorder="1" applyAlignment="1" applyProtection="1">
      <alignment vertical="center"/>
    </xf>
    <xf numFmtId="0" fontId="13" fillId="3" borderId="2" xfId="0" applyFont="1" applyFill="1" applyBorder="1" applyAlignment="1" applyProtection="1">
      <alignment horizontal="center" vertical="center"/>
    </xf>
    <xf numFmtId="0" fontId="2" fillId="0" borderId="0" xfId="0" applyFont="1" applyBorder="1" applyAlignment="1" applyProtection="1">
      <alignment wrapText="1"/>
    </xf>
    <xf numFmtId="0" fontId="23" fillId="0" borderId="0" xfId="0" applyFont="1" applyBorder="1" applyAlignment="1" applyProtection="1">
      <alignment horizontal="center" wrapText="1"/>
    </xf>
    <xf numFmtId="0" fontId="24" fillId="0" borderId="0" xfId="0" applyFont="1" applyBorder="1" applyAlignment="1" applyProtection="1">
      <alignment horizontal="center" wrapText="1"/>
    </xf>
    <xf numFmtId="0" fontId="4" fillId="0" borderId="1" xfId="0" applyFont="1" applyBorder="1" applyAlignment="1" applyProtection="1">
      <alignment horizontal="center"/>
    </xf>
    <xf numFmtId="0" fontId="4" fillId="0" borderId="0" xfId="0" applyFont="1" applyBorder="1" applyAlignment="1" applyProtection="1">
      <alignment wrapText="1"/>
    </xf>
    <xf numFmtId="0" fontId="2" fillId="0" borderId="0" xfId="0" applyFont="1" applyBorder="1" applyAlignment="1" applyProtection="1">
      <alignment horizontal="center"/>
    </xf>
    <xf numFmtId="0" fontId="14" fillId="3" borderId="1" xfId="1" applyFont="1" applyFill="1" applyBorder="1" applyAlignment="1" applyProtection="1">
      <alignment horizontal="center" vertical="center" wrapText="1"/>
    </xf>
    <xf numFmtId="0" fontId="25" fillId="5" borderId="1" xfId="1" applyFont="1" applyFill="1" applyBorder="1" applyAlignment="1" applyProtection="1">
      <alignment wrapText="1"/>
    </xf>
    <xf numFmtId="21" fontId="2" fillId="0" borderId="0" xfId="0" applyNumberFormat="1" applyFont="1" applyAlignment="1" applyProtection="1">
      <alignment horizontal="center" vertical="center"/>
    </xf>
    <xf numFmtId="0" fontId="2" fillId="0" borderId="1" xfId="0" applyFont="1" applyBorder="1" applyAlignment="1" applyProtection="1">
      <alignment horizontal="center" vertical="center" wrapText="1"/>
    </xf>
    <xf numFmtId="0" fontId="2" fillId="0" borderId="1" xfId="0" applyFont="1" applyBorder="1" applyAlignment="1" applyProtection="1">
      <alignment horizontal="center" vertical="center"/>
    </xf>
    <xf numFmtId="0" fontId="2" fillId="0" borderId="1" xfId="0" applyFont="1" applyBorder="1" applyAlignment="1" applyProtection="1"/>
    <xf numFmtId="0" fontId="15" fillId="0" borderId="1" xfId="0" applyFont="1" applyBorder="1" applyAlignment="1" applyProtection="1">
      <alignment horizontal="center" vertical="center" wrapText="1"/>
    </xf>
    <xf numFmtId="0" fontId="2" fillId="0" borderId="1" xfId="0" applyFont="1" applyBorder="1" applyAlignment="1" applyProtection="1">
      <alignment horizontal="center" vertical="center" wrapText="1"/>
    </xf>
    <xf numFmtId="0" fontId="2" fillId="0" borderId="1" xfId="0" applyFont="1" applyBorder="1" applyAlignment="1" applyProtection="1">
      <alignment horizontal="center" vertical="center"/>
    </xf>
    <xf numFmtId="0" fontId="28" fillId="0" borderId="1" xfId="0" applyFont="1" applyBorder="1" applyAlignment="1">
      <alignment horizontal="center" vertical="center"/>
    </xf>
    <xf numFmtId="164" fontId="2" fillId="0" borderId="6"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29" fillId="0" borderId="7" xfId="0" applyFont="1" applyBorder="1" applyAlignment="1">
      <alignment horizontal="center" vertical="center" wrapText="1"/>
    </xf>
    <xf numFmtId="0" fontId="2" fillId="0" borderId="1" xfId="0" applyFont="1" applyBorder="1"/>
    <xf numFmtId="0" fontId="2" fillId="0" borderId="1" xfId="0" applyFont="1" applyBorder="1" applyAlignment="1">
      <alignment horizontal="center" vertical="center" wrapText="1"/>
    </xf>
    <xf numFmtId="0" fontId="2" fillId="0" borderId="0" xfId="0" applyFont="1"/>
    <xf numFmtId="21" fontId="15" fillId="0" borderId="1" xfId="0" applyNumberFormat="1" applyFont="1" applyBorder="1" applyAlignment="1">
      <alignment horizontal="center" vertical="center"/>
    </xf>
    <xf numFmtId="0" fontId="2" fillId="0" borderId="1" xfId="0" applyFont="1" applyBorder="1" applyAlignment="1">
      <alignment horizontal="center" vertical="center"/>
    </xf>
    <xf numFmtId="164" fontId="20" fillId="0" borderId="1" xfId="0" applyNumberFormat="1" applyFont="1" applyBorder="1" applyAlignment="1">
      <alignment horizontal="center" vertical="center"/>
    </xf>
    <xf numFmtId="21" fontId="20" fillId="0" borderId="1" xfId="0" applyNumberFormat="1" applyFont="1" applyBorder="1" applyAlignment="1">
      <alignment horizontal="center" vertical="center"/>
    </xf>
    <xf numFmtId="0" fontId="15" fillId="0" borderId="1" xfId="0" applyFont="1" applyBorder="1" applyAlignment="1">
      <alignment horizontal="center" vertical="center" wrapText="1"/>
    </xf>
    <xf numFmtId="0" fontId="20" fillId="0" borderId="1" xfId="0" applyFont="1" applyBorder="1" applyAlignment="1">
      <alignment horizontal="center" vertical="center" wrapText="1"/>
    </xf>
    <xf numFmtId="21" fontId="15" fillId="0" borderId="0" xfId="0" applyNumberFormat="1" applyFont="1" applyAlignment="1" applyProtection="1">
      <alignment vertical="center"/>
    </xf>
    <xf numFmtId="0" fontId="2" fillId="0" borderId="2" xfId="0" applyFont="1" applyBorder="1" applyAlignment="1" applyProtection="1">
      <alignment horizontal="center" vertical="center"/>
    </xf>
    <xf numFmtId="0" fontId="17" fillId="0" borderId="0" xfId="0" applyFont="1" applyBorder="1" applyAlignment="1" applyProtection="1">
      <alignment wrapText="1"/>
    </xf>
    <xf numFmtId="0" fontId="33" fillId="0" borderId="0" xfId="0" applyFont="1" applyBorder="1" applyAlignment="1" applyProtection="1">
      <alignment horizontal="center" wrapText="1"/>
    </xf>
    <xf numFmtId="0" fontId="17" fillId="0" borderId="1" xfId="0" applyFont="1" applyBorder="1" applyAlignment="1" applyProtection="1">
      <alignment horizontal="center" vertical="center"/>
    </xf>
    <xf numFmtId="165" fontId="17" fillId="0" borderId="2" xfId="0" applyNumberFormat="1" applyFont="1" applyBorder="1" applyAlignment="1" applyProtection="1">
      <alignment horizontal="center" vertical="center"/>
    </xf>
    <xf numFmtId="0" fontId="16" fillId="0" borderId="0" xfId="0" applyFont="1" applyBorder="1" applyAlignment="1" applyProtection="1">
      <alignment wrapText="1"/>
    </xf>
    <xf numFmtId="0" fontId="17" fillId="0" borderId="0" xfId="0" applyFont="1" applyBorder="1" applyAlignment="1" applyProtection="1"/>
    <xf numFmtId="0" fontId="17" fillId="0" borderId="0" xfId="0" applyFont="1" applyAlignment="1" applyProtection="1"/>
    <xf numFmtId="0" fontId="34" fillId="0" borderId="0" xfId="0" applyFont="1" applyBorder="1" applyAlignment="1" applyProtection="1">
      <alignment horizontal="center" wrapText="1"/>
    </xf>
    <xf numFmtId="0" fontId="6" fillId="0" borderId="0" xfId="0" applyFont="1" applyBorder="1" applyAlignment="1" applyProtection="1">
      <alignment horizontal="center"/>
    </xf>
    <xf numFmtId="164" fontId="15" fillId="0" borderId="1" xfId="0" applyNumberFormat="1" applyFont="1" applyBorder="1" applyAlignment="1">
      <alignment horizontal="center" vertical="center"/>
    </xf>
    <xf numFmtId="0" fontId="15" fillId="0" borderId="0" xfId="0" applyFont="1" applyAlignment="1" applyProtection="1"/>
    <xf numFmtId="0" fontId="16" fillId="0" borderId="1" xfId="0" applyFont="1" applyBorder="1" applyAlignment="1" applyProtection="1">
      <alignment horizontal="center"/>
    </xf>
    <xf numFmtId="0" fontId="17" fillId="0" borderId="0" xfId="0" applyFont="1" applyBorder="1" applyAlignment="1" applyProtection="1">
      <alignment horizontal="center"/>
    </xf>
    <xf numFmtId="0" fontId="26" fillId="5" borderId="1" xfId="1" applyFont="1" applyFill="1" applyBorder="1" applyAlignment="1" applyProtection="1">
      <alignment vertical="center" wrapText="1"/>
    </xf>
    <xf numFmtId="0" fontId="26" fillId="5" borderId="1" xfId="1" applyFont="1" applyFill="1" applyBorder="1" applyAlignment="1" applyProtection="1">
      <alignment wrapText="1"/>
    </xf>
    <xf numFmtId="0" fontId="17" fillId="0" borderId="1" xfId="0" applyFont="1" applyBorder="1" applyAlignment="1" applyProtection="1">
      <alignment vertical="center" wrapText="1"/>
    </xf>
    <xf numFmtId="0" fontId="26" fillId="5" borderId="1" xfId="1" applyFont="1" applyFill="1" applyBorder="1" applyAlignment="1">
      <alignment vertical="center" wrapText="1"/>
    </xf>
    <xf numFmtId="0" fontId="17" fillId="0" borderId="1" xfId="0" applyFont="1" applyBorder="1" applyAlignment="1" applyProtection="1"/>
    <xf numFmtId="0" fontId="2" fillId="0" borderId="1" xfId="0" applyFont="1" applyBorder="1" applyAlignment="1" applyProtection="1">
      <alignment horizontal="center" vertical="center" wrapText="1"/>
    </xf>
    <xf numFmtId="0" fontId="3" fillId="4" borderId="1" xfId="0" applyFont="1" applyFill="1" applyBorder="1" applyAlignment="1" applyProtection="1">
      <alignment wrapText="1"/>
    </xf>
    <xf numFmtId="0" fontId="2" fillId="0" borderId="1" xfId="0" applyFont="1" applyBorder="1" applyAlignment="1" applyProtection="1">
      <alignment horizontal="center" vertical="center"/>
    </xf>
    <xf numFmtId="0" fontId="4" fillId="3" borderId="1"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vertical="center" wrapText="1"/>
    </xf>
    <xf numFmtId="0" fontId="4" fillId="0" borderId="1" xfId="0" applyFont="1" applyBorder="1" applyAlignment="1" applyProtection="1">
      <alignment horizontal="center" vertical="center" wrapText="1"/>
    </xf>
    <xf numFmtId="0" fontId="4" fillId="0" borderId="1" xfId="0" applyFont="1" applyBorder="1" applyAlignment="1" applyProtection="1">
      <alignment horizontal="center" vertical="center"/>
    </xf>
    <xf numFmtId="0" fontId="3" fillId="4" borderId="1" xfId="0" applyFont="1" applyFill="1" applyBorder="1" applyAlignment="1" applyProtection="1">
      <alignment horizontal="center" wrapText="1"/>
    </xf>
    <xf numFmtId="0" fontId="11" fillId="3" borderId="1" xfId="3" applyFont="1" applyFill="1" applyBorder="1" applyAlignment="1" applyProtection="1">
      <alignment horizontal="center" wrapText="1"/>
    </xf>
    <xf numFmtId="0" fontId="4" fillId="3" borderId="1" xfId="0" applyFont="1" applyFill="1" applyBorder="1" applyAlignment="1" applyProtection="1">
      <alignment horizontal="center"/>
    </xf>
    <xf numFmtId="0" fontId="4" fillId="3" borderId="1" xfId="0" applyFont="1" applyFill="1" applyBorder="1" applyAlignment="1" applyProtection="1">
      <alignment horizontal="center" wrapText="1"/>
    </xf>
    <xf numFmtId="0" fontId="3" fillId="2" borderId="1" xfId="0" applyFont="1" applyFill="1" applyBorder="1" applyAlignment="1" applyProtection="1">
      <alignment horizontal="left" wrapText="1"/>
    </xf>
    <xf numFmtId="0" fontId="10" fillId="0" borderId="1" xfId="0" applyFont="1" applyBorder="1" applyAlignment="1" applyProtection="1">
      <alignment horizontal="center" vertical="center" wrapText="1"/>
    </xf>
    <xf numFmtId="0" fontId="2" fillId="0" borderId="1" xfId="0" applyFont="1" applyBorder="1" applyAlignment="1" applyProtection="1">
      <alignment vertical="center" wrapText="1"/>
    </xf>
    <xf numFmtId="0" fontId="5" fillId="0" borderId="1" xfId="2" applyFont="1" applyBorder="1" applyAlignment="1" applyProtection="1">
      <alignment vertical="center" wrapText="1"/>
    </xf>
    <xf numFmtId="0" fontId="6" fillId="0" borderId="1" xfId="0" applyFont="1" applyBorder="1" applyAlignment="1" applyProtection="1">
      <alignment vertical="center" wrapText="1"/>
    </xf>
    <xf numFmtId="0" fontId="9" fillId="0" borderId="1" xfId="2" applyFont="1" applyBorder="1" applyAlignment="1" applyProtection="1">
      <alignment horizontal="center" vertical="center" wrapText="1"/>
    </xf>
    <xf numFmtId="0" fontId="8" fillId="0" borderId="1" xfId="2" applyFont="1" applyBorder="1" applyAlignment="1" applyProtection="1">
      <alignment horizontal="center" vertical="center" wrapText="1"/>
    </xf>
    <xf numFmtId="0" fontId="2" fillId="0" borderId="1" xfId="0" applyFont="1" applyBorder="1" applyAlignment="1" applyProtection="1"/>
    <xf numFmtId="0" fontId="2" fillId="0" borderId="1" xfId="0" applyFont="1" applyBorder="1" applyAlignment="1" applyProtection="1">
      <alignment horizontal="center" wrapText="1"/>
    </xf>
    <xf numFmtId="0" fontId="3" fillId="2" borderId="1" xfId="0" applyFont="1" applyFill="1" applyBorder="1" applyAlignment="1" applyProtection="1">
      <alignment horizontal="center" wrapText="1"/>
    </xf>
    <xf numFmtId="0" fontId="15" fillId="0" borderId="1" xfId="0" applyFont="1" applyBorder="1" applyAlignment="1" applyProtection="1">
      <alignment vertical="center" wrapText="1"/>
    </xf>
    <xf numFmtId="0" fontId="15" fillId="0" borderId="6" xfId="0" applyFont="1" applyBorder="1" applyAlignment="1" applyProtection="1">
      <alignment vertical="center" wrapText="1"/>
    </xf>
    <xf numFmtId="0" fontId="2" fillId="0" borderId="6" xfId="0" applyFont="1" applyBorder="1" applyAlignment="1">
      <alignment horizontal="left" vertical="center" wrapText="1"/>
    </xf>
    <xf numFmtId="0" fontId="2" fillId="0" borderId="1" xfId="0" applyFont="1" applyBorder="1" applyAlignment="1">
      <alignment horizontal="left" vertical="center" wrapText="1"/>
    </xf>
    <xf numFmtId="0" fontId="6" fillId="3" borderId="5" xfId="0" applyFont="1" applyFill="1" applyBorder="1" applyAlignment="1" applyProtection="1">
      <alignment horizontal="left" vertical="center" wrapText="1"/>
    </xf>
    <xf numFmtId="0" fontId="15" fillId="0" borderId="1" xfId="0" applyFont="1" applyBorder="1" applyAlignment="1" applyProtection="1">
      <alignment horizontal="left" vertical="center" wrapText="1"/>
    </xf>
    <xf numFmtId="0" fontId="6" fillId="3" borderId="1" xfId="0" applyFont="1" applyFill="1" applyBorder="1" applyAlignment="1" applyProtection="1">
      <alignment horizontal="left" vertical="center" wrapText="1"/>
    </xf>
    <xf numFmtId="0" fontId="2" fillId="0" borderId="2" xfId="0" applyFont="1" applyBorder="1" applyAlignment="1" applyProtection="1">
      <alignment horizontal="center" vertical="center" wrapText="1"/>
    </xf>
    <xf numFmtId="0" fontId="2" fillId="0" borderId="3" xfId="0" applyFont="1" applyBorder="1" applyAlignment="1" applyProtection="1">
      <alignment vertical="center" wrapText="1"/>
    </xf>
    <xf numFmtId="0" fontId="4" fillId="2" borderId="3" xfId="0" applyFont="1" applyFill="1" applyBorder="1" applyAlignment="1" applyProtection="1">
      <alignment horizontal="center" vertical="center" wrapText="1"/>
    </xf>
    <xf numFmtId="0" fontId="2" fillId="0" borderId="4" xfId="0" applyFont="1" applyBorder="1" applyAlignment="1" applyProtection="1">
      <alignment vertical="center" wrapText="1"/>
    </xf>
    <xf numFmtId="0" fontId="13" fillId="3" borderId="1" xfId="0" applyFont="1" applyFill="1" applyBorder="1" applyAlignment="1" applyProtection="1">
      <alignment horizontal="center" vertical="center" wrapText="1"/>
    </xf>
    <xf numFmtId="0" fontId="14" fillId="3" borderId="1" xfId="0" applyFont="1" applyFill="1" applyBorder="1" applyAlignment="1" applyProtection="1">
      <alignment horizontal="center" vertical="center" wrapText="1"/>
    </xf>
    <xf numFmtId="0" fontId="2" fillId="0" borderId="1" xfId="0" applyFont="1" applyBorder="1" applyAlignment="1">
      <alignment horizontal="center" vertical="center" wrapText="1"/>
    </xf>
    <xf numFmtId="0" fontId="13" fillId="3" borderId="2" xfId="0" applyFont="1" applyFill="1" applyBorder="1" applyAlignment="1" applyProtection="1">
      <alignment horizontal="center" vertical="center" wrapText="1"/>
    </xf>
    <xf numFmtId="0" fontId="15" fillId="0" borderId="1" xfId="0" applyFont="1" applyBorder="1" applyAlignment="1" applyProtection="1">
      <alignment horizontal="center" vertical="center" wrapText="1"/>
    </xf>
    <xf numFmtId="0" fontId="15" fillId="0" borderId="1" xfId="0" applyFont="1" applyBorder="1" applyAlignment="1" applyProtection="1">
      <alignment horizontal="center" vertical="center"/>
    </xf>
    <xf numFmtId="0" fontId="4" fillId="2" borderId="2" xfId="0" applyFont="1" applyFill="1" applyBorder="1" applyAlignment="1" applyProtection="1">
      <alignment horizontal="center" vertical="center" wrapText="1"/>
    </xf>
    <xf numFmtId="0" fontId="15" fillId="0" borderId="2" xfId="0" applyFont="1" applyBorder="1" applyAlignment="1" applyProtection="1">
      <alignment vertical="center" wrapText="1"/>
    </xf>
    <xf numFmtId="0" fontId="15" fillId="0" borderId="3" xfId="0" applyFont="1" applyBorder="1" applyAlignment="1" applyProtection="1">
      <alignment vertical="center" wrapText="1"/>
    </xf>
    <xf numFmtId="0" fontId="18" fillId="2" borderId="8" xfId="0" applyFont="1" applyFill="1" applyBorder="1" applyAlignment="1" applyProtection="1">
      <alignment horizontal="center" vertical="center" wrapText="1"/>
    </xf>
    <xf numFmtId="0" fontId="15" fillId="0" borderId="4" xfId="0" applyFont="1" applyBorder="1" applyAlignment="1" applyProtection="1">
      <alignment vertical="center" wrapText="1"/>
    </xf>
    <xf numFmtId="0" fontId="18" fillId="2" borderId="1" xfId="0" applyFont="1" applyFill="1" applyBorder="1" applyAlignment="1" applyProtection="1">
      <alignment horizontal="center" vertical="center" wrapText="1"/>
    </xf>
    <xf numFmtId="0" fontId="20" fillId="0" borderId="1" xfId="0" applyFont="1" applyBorder="1" applyAlignment="1" applyProtection="1">
      <alignment vertical="center" wrapText="1"/>
    </xf>
    <xf numFmtId="0" fontId="3" fillId="2" borderId="1" xfId="0" applyFont="1" applyFill="1" applyBorder="1" applyAlignment="1" applyProtection="1">
      <alignment horizontal="center" vertical="center" wrapText="1"/>
    </xf>
    <xf numFmtId="0" fontId="2" fillId="0" borderId="2" xfId="0" applyFont="1" applyBorder="1" applyAlignment="1" applyProtection="1">
      <alignment vertical="center" wrapText="1"/>
    </xf>
    <xf numFmtId="0" fontId="2" fillId="0" borderId="3" xfId="0" applyFont="1" applyBorder="1" applyAlignment="1" applyProtection="1">
      <alignment vertical="center"/>
    </xf>
    <xf numFmtId="0" fontId="3" fillId="2" borderId="8" xfId="0" applyFont="1" applyFill="1" applyBorder="1" applyAlignment="1" applyProtection="1">
      <alignment horizontal="center" vertical="center"/>
    </xf>
    <xf numFmtId="0" fontId="2" fillId="0" borderId="4" xfId="0" applyFont="1" applyBorder="1" applyAlignment="1" applyProtection="1">
      <alignment vertical="center"/>
    </xf>
    <xf numFmtId="0" fontId="19" fillId="3" borderId="1" xfId="0" applyFont="1" applyFill="1" applyBorder="1" applyAlignment="1" applyProtection="1">
      <alignment horizontal="center" vertical="center"/>
    </xf>
    <xf numFmtId="0" fontId="2" fillId="0" borderId="0" xfId="0" applyFont="1" applyBorder="1" applyAlignment="1" applyProtection="1">
      <alignment vertical="center" wrapText="1"/>
    </xf>
    <xf numFmtId="0" fontId="2" fillId="0" borderId="5" xfId="0" applyFont="1" applyBorder="1" applyAlignment="1" applyProtection="1">
      <alignment horizontal="center" vertical="center" wrapText="1"/>
    </xf>
    <xf numFmtId="0" fontId="2" fillId="0" borderId="0" xfId="0" applyFont="1" applyBorder="1" applyAlignment="1" applyProtection="1">
      <alignment horizontal="center" vertical="center" wrapText="1"/>
    </xf>
    <xf numFmtId="0" fontId="17" fillId="0" borderId="6" xfId="0" applyFont="1" applyBorder="1" applyAlignment="1">
      <alignment horizontal="left" vertical="center" wrapText="1"/>
    </xf>
    <xf numFmtId="0" fontId="17" fillId="0" borderId="1" xfId="0" applyFont="1" applyBorder="1" applyAlignment="1">
      <alignment horizontal="left" vertical="center" wrapText="1"/>
    </xf>
    <xf numFmtId="0" fontId="17" fillId="0" borderId="1" xfId="0" applyFont="1" applyBorder="1" applyAlignment="1" applyProtection="1">
      <alignment vertical="center" wrapText="1"/>
    </xf>
    <xf numFmtId="0" fontId="3" fillId="2" borderId="1" xfId="1" applyFont="1" applyFill="1" applyBorder="1" applyAlignment="1" applyProtection="1">
      <alignment horizontal="center" wrapText="1"/>
    </xf>
    <xf numFmtId="0" fontId="13" fillId="3" borderId="1" xfId="0" applyFont="1" applyFill="1" applyBorder="1" applyAlignment="1" applyProtection="1">
      <alignment horizontal="center" wrapText="1"/>
    </xf>
    <xf numFmtId="0" fontId="32" fillId="3" borderId="1" xfId="1" applyFont="1" applyFill="1" applyBorder="1" applyAlignment="1" applyProtection="1">
      <alignment horizontal="center" wrapText="1"/>
    </xf>
    <xf numFmtId="0" fontId="13" fillId="3" borderId="1" xfId="1" applyFont="1" applyFill="1" applyBorder="1" applyAlignment="1" applyProtection="1">
      <alignment horizontal="center" wrapText="1"/>
    </xf>
    <xf numFmtId="0" fontId="4" fillId="3" borderId="1" xfId="0" applyFont="1" applyFill="1" applyBorder="1" applyAlignment="1" applyProtection="1">
      <alignment wrapText="1"/>
    </xf>
    <xf numFmtId="0" fontId="2" fillId="0" borderId="1" xfId="0" applyFont="1" applyBorder="1" applyAlignment="1" applyProtection="1">
      <alignment horizontal="center"/>
    </xf>
    <xf numFmtId="0" fontId="6" fillId="3" borderId="1" xfId="0" applyFont="1" applyFill="1" applyBorder="1" applyAlignment="1" applyProtection="1">
      <alignment horizontal="center"/>
    </xf>
    <xf numFmtId="166" fontId="2" fillId="0" borderId="1" xfId="0" applyNumberFormat="1" applyFont="1" applyBorder="1" applyAlignment="1" applyProtection="1">
      <alignment horizontal="center"/>
    </xf>
    <xf numFmtId="0" fontId="2" fillId="0" borderId="2" xfId="0" applyFont="1" applyBorder="1" applyAlignment="1" applyProtection="1">
      <alignment wrapText="1"/>
    </xf>
    <xf numFmtId="0" fontId="2" fillId="0" borderId="3" xfId="0" applyFont="1" applyBorder="1" applyAlignment="1" applyProtection="1">
      <alignment wrapText="1"/>
    </xf>
    <xf numFmtId="0" fontId="3" fillId="2" borderId="8" xfId="0" applyFont="1" applyFill="1" applyBorder="1" applyAlignment="1" applyProtection="1">
      <alignment horizontal="center" wrapText="1"/>
    </xf>
    <xf numFmtId="0" fontId="11" fillId="0" borderId="4" xfId="0" applyFont="1" applyBorder="1" applyAlignment="1" applyProtection="1">
      <alignment horizontal="center" wrapText="1"/>
    </xf>
    <xf numFmtId="0" fontId="6" fillId="3" borderId="1" xfId="0" applyFont="1" applyFill="1" applyBorder="1" applyAlignment="1" applyProtection="1">
      <alignment wrapText="1"/>
    </xf>
    <xf numFmtId="0" fontId="4" fillId="0" borderId="1" xfId="0" applyFont="1" applyBorder="1" applyAlignment="1" applyProtection="1">
      <alignment horizontal="center" wrapText="1"/>
    </xf>
    <xf numFmtId="0" fontId="15" fillId="0" borderId="7" xfId="0" applyFont="1" applyBorder="1" applyAlignment="1" applyProtection="1">
      <alignment vertical="center" wrapText="1"/>
    </xf>
    <xf numFmtId="164" fontId="15" fillId="0" borderId="7" xfId="0" applyNumberFormat="1" applyFont="1" applyBorder="1" applyAlignment="1" applyProtection="1">
      <alignment horizontal="center" vertical="center"/>
    </xf>
    <xf numFmtId="0" fontId="2" fillId="0" borderId="7" xfId="0" applyFont="1" applyBorder="1" applyAlignment="1" applyProtection="1">
      <alignment horizontal="center" vertical="center"/>
    </xf>
    <xf numFmtId="0" fontId="15" fillId="0" borderId="7" xfId="0" applyFont="1" applyBorder="1" applyAlignment="1" applyProtection="1">
      <alignment horizontal="center" vertical="center" wrapText="1"/>
    </xf>
    <xf numFmtId="0" fontId="2" fillId="0" borderId="7" xfId="0" applyFont="1" applyBorder="1" applyAlignment="1" applyProtection="1">
      <alignment horizontal="center" vertical="center" wrapText="1"/>
    </xf>
  </cellXfs>
  <cellStyles count="5">
    <cellStyle name="Normal" xfId="0" builtinId="0"/>
    <cellStyle name="Normal 11" xfId="1" xr:uid="{00000000-0005-0000-0000-000006000000}"/>
    <cellStyle name="Normal 2" xfId="2" xr:uid="{00000000-0005-0000-0000-000007000000}"/>
    <cellStyle name="Normal 3" xfId="3" xr:uid="{00000000-0005-0000-0000-000008000000}"/>
    <cellStyle name="Normal 4" xfId="4" xr:uid="{00000000-0005-0000-0000-000009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EC6458"/>
      <rgbColor rgb="FF0066CC"/>
      <rgbColor rgb="FFD5D6D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585F"/>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419040</xdr:colOff>
      <xdr:row>1</xdr:row>
      <xdr:rowOff>38160</xdr:rowOff>
    </xdr:from>
    <xdr:to>
      <xdr:col>0</xdr:col>
      <xdr:colOff>1236960</xdr:colOff>
      <xdr:row>3</xdr:row>
      <xdr:rowOff>187920</xdr:rowOff>
    </xdr:to>
    <xdr:pic>
      <xdr:nvPicPr>
        <xdr:cNvPr id="2" name="Picture 5">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419040" y="219240"/>
          <a:ext cx="817920" cy="5403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66600</xdr:colOff>
      <xdr:row>1</xdr:row>
      <xdr:rowOff>38160</xdr:rowOff>
    </xdr:from>
    <xdr:to>
      <xdr:col>1</xdr:col>
      <xdr:colOff>884520</xdr:colOff>
      <xdr:row>4</xdr:row>
      <xdr:rowOff>803</xdr:rowOff>
    </xdr:to>
    <xdr:pic>
      <xdr:nvPicPr>
        <xdr:cNvPr id="2" name="Picture 5">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348480" y="219240"/>
          <a:ext cx="817920" cy="5043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324000</xdr:colOff>
      <xdr:row>1</xdr:row>
      <xdr:rowOff>38160</xdr:rowOff>
    </xdr:from>
    <xdr:to>
      <xdr:col>1</xdr:col>
      <xdr:colOff>408600</xdr:colOff>
      <xdr:row>3</xdr:row>
      <xdr:rowOff>216720</xdr:rowOff>
    </xdr:to>
    <xdr:pic>
      <xdr:nvPicPr>
        <xdr:cNvPr id="2" name="Picture 5">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324000" y="200160"/>
          <a:ext cx="860040" cy="50220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162000</xdr:colOff>
      <xdr:row>1</xdr:row>
      <xdr:rowOff>38160</xdr:rowOff>
    </xdr:from>
    <xdr:to>
      <xdr:col>1</xdr:col>
      <xdr:colOff>713160</xdr:colOff>
      <xdr:row>4</xdr:row>
      <xdr:rowOff>760</xdr:rowOff>
    </xdr:to>
    <xdr:pic>
      <xdr:nvPicPr>
        <xdr:cNvPr id="3" name="Picture 5">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162000" y="219240"/>
          <a:ext cx="833040" cy="50220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171360</xdr:colOff>
      <xdr:row>1</xdr:row>
      <xdr:rowOff>38160</xdr:rowOff>
    </xdr:from>
    <xdr:to>
      <xdr:col>1</xdr:col>
      <xdr:colOff>722520</xdr:colOff>
      <xdr:row>3</xdr:row>
      <xdr:rowOff>170280</xdr:rowOff>
    </xdr:to>
    <xdr:pic>
      <xdr:nvPicPr>
        <xdr:cNvPr id="4" name="Picture 5">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tretch/>
      </xdr:blipFill>
      <xdr:spPr>
        <a:xfrm>
          <a:off x="171360" y="219240"/>
          <a:ext cx="833040" cy="49392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28440</xdr:colOff>
      <xdr:row>1</xdr:row>
      <xdr:rowOff>38160</xdr:rowOff>
    </xdr:from>
    <xdr:to>
      <xdr:col>1</xdr:col>
      <xdr:colOff>846360</xdr:colOff>
      <xdr:row>4</xdr:row>
      <xdr:rowOff>947</xdr:rowOff>
    </xdr:to>
    <xdr:pic>
      <xdr:nvPicPr>
        <xdr:cNvPr id="5" name="Picture 5">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xdr:blipFill>
      <xdr:spPr>
        <a:xfrm>
          <a:off x="330840" y="219240"/>
          <a:ext cx="817920" cy="493920"/>
        </a:xfrm>
        <a:prstGeom prst="rect">
          <a:avLst/>
        </a:prstGeom>
        <a:noFill/>
        <a:ln w="0">
          <a:noFill/>
        </a:ln>
      </xdr:spPr>
    </xdr:pic>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showGridLines="0" zoomScale="90" zoomScaleNormal="90" workbookViewId="0">
      <selection activeCell="A20" sqref="A20:F20"/>
    </sheetView>
  </sheetViews>
  <sheetFormatPr baseColWidth="10" defaultColWidth="11" defaultRowHeight="14.25" customHeight="1" x14ac:dyDescent="0.2"/>
  <cols>
    <col min="1" max="1" width="24" style="1" customWidth="1"/>
    <col min="2" max="2" width="16" style="1" customWidth="1"/>
    <col min="3" max="3" width="29.28515625" style="1" customWidth="1"/>
    <col min="4" max="4" width="21" style="1" customWidth="1"/>
    <col min="5" max="5" width="19.28515625" style="1" customWidth="1"/>
    <col min="6" max="6" width="21.28515625" style="1" customWidth="1"/>
    <col min="7" max="16384" width="11" style="1"/>
  </cols>
  <sheetData>
    <row r="2" spans="1:8" ht="15" customHeight="1" x14ac:dyDescent="0.2">
      <c r="A2" s="104"/>
      <c r="B2" s="105"/>
      <c r="C2" s="105"/>
      <c r="D2" s="105"/>
      <c r="E2" s="105"/>
      <c r="F2" s="105"/>
    </row>
    <row r="3" spans="1:8" ht="15.75" customHeight="1" x14ac:dyDescent="0.2">
      <c r="A3" s="104"/>
      <c r="B3" s="106" t="s">
        <v>0</v>
      </c>
      <c r="C3" s="106"/>
      <c r="D3" s="106"/>
      <c r="E3" s="106"/>
      <c r="F3" s="106"/>
    </row>
    <row r="4" spans="1:8" ht="15" customHeight="1" x14ac:dyDescent="0.2">
      <c r="A4" s="104"/>
      <c r="B4" s="105"/>
      <c r="C4" s="105"/>
      <c r="D4" s="105"/>
      <c r="E4" s="105"/>
      <c r="F4" s="105"/>
    </row>
    <row r="5" spans="1:8" ht="14.25" customHeight="1" x14ac:dyDescent="0.2">
      <c r="A5" s="96" t="s">
        <v>1</v>
      </c>
      <c r="B5" s="96"/>
      <c r="C5" s="96"/>
      <c r="D5" s="96"/>
      <c r="E5" s="96"/>
      <c r="F5" s="96"/>
    </row>
    <row r="6" spans="1:8" ht="14.25" customHeight="1" x14ac:dyDescent="0.2">
      <c r="A6" s="100" t="s">
        <v>2</v>
      </c>
      <c r="B6" s="100"/>
      <c r="C6" s="100" t="s">
        <v>3</v>
      </c>
      <c r="D6" s="100"/>
      <c r="E6" s="101" t="s">
        <v>4</v>
      </c>
      <c r="F6" s="101"/>
      <c r="G6" s="3"/>
      <c r="H6" s="3"/>
    </row>
    <row r="7" spans="1:8" ht="14.25" customHeight="1" x14ac:dyDescent="0.2">
      <c r="A7" s="103" t="s">
        <v>5</v>
      </c>
      <c r="B7" s="103"/>
      <c r="C7" s="103" t="s">
        <v>6</v>
      </c>
      <c r="D7" s="103"/>
      <c r="E7" s="103" t="s">
        <v>7</v>
      </c>
      <c r="F7" s="103"/>
    </row>
    <row r="8" spans="1:8" ht="12" customHeight="1" x14ac:dyDescent="0.2">
      <c r="A8" s="103"/>
      <c r="B8" s="103"/>
      <c r="C8" s="103"/>
      <c r="D8" s="103"/>
      <c r="E8" s="103"/>
      <c r="F8" s="103"/>
    </row>
    <row r="9" spans="1:8" ht="14.25" customHeight="1" x14ac:dyDescent="0.2">
      <c r="A9" s="96" t="s">
        <v>8</v>
      </c>
      <c r="B9" s="96"/>
      <c r="C9" s="96"/>
      <c r="D9" s="96"/>
      <c r="E9" s="96"/>
      <c r="F9" s="96"/>
    </row>
    <row r="10" spans="1:8" ht="15.75" customHeight="1" x14ac:dyDescent="0.2">
      <c r="A10" s="100" t="s">
        <v>2</v>
      </c>
      <c r="B10" s="100"/>
      <c r="C10" s="100" t="s">
        <v>3</v>
      </c>
      <c r="D10" s="100"/>
      <c r="E10" s="101" t="s">
        <v>4</v>
      </c>
      <c r="F10" s="101"/>
    </row>
    <row r="11" spans="1:8" ht="14.25" customHeight="1" x14ac:dyDescent="0.2">
      <c r="A11" s="102" t="s">
        <v>9</v>
      </c>
      <c r="B11" s="102"/>
      <c r="C11" s="102" t="s">
        <v>10</v>
      </c>
      <c r="D11" s="102"/>
      <c r="E11" s="102" t="s">
        <v>11</v>
      </c>
      <c r="F11" s="102"/>
    </row>
    <row r="12" spans="1:8" ht="18.75" customHeight="1" x14ac:dyDescent="0.2">
      <c r="A12" s="102"/>
      <c r="B12" s="102"/>
      <c r="C12" s="102"/>
      <c r="D12" s="102"/>
      <c r="E12" s="102"/>
      <c r="F12" s="102"/>
    </row>
    <row r="14" spans="1:8" ht="12.75" customHeight="1" x14ac:dyDescent="0.2">
      <c r="A14" s="96" t="s">
        <v>12</v>
      </c>
      <c r="B14" s="96"/>
      <c r="C14" s="96"/>
      <c r="D14" s="96"/>
      <c r="E14" s="96"/>
      <c r="F14" s="96"/>
    </row>
    <row r="15" spans="1:8" ht="14.25" hidden="1" customHeight="1" x14ac:dyDescent="0.2"/>
    <row r="16" spans="1:8" ht="14.25" customHeight="1" x14ac:dyDescent="0.2">
      <c r="A16" s="97" t="s">
        <v>13</v>
      </c>
      <c r="B16" s="97"/>
      <c r="C16" s="97"/>
      <c r="D16" s="97"/>
      <c r="E16" s="97"/>
      <c r="F16" s="97"/>
    </row>
    <row r="17" spans="1:6" ht="42" customHeight="1" x14ac:dyDescent="0.2">
      <c r="A17" s="98" t="s">
        <v>109</v>
      </c>
      <c r="B17" s="98"/>
      <c r="C17" s="98"/>
      <c r="D17" s="98"/>
      <c r="E17" s="98"/>
      <c r="F17" s="98"/>
    </row>
    <row r="18" spans="1:6" ht="14.25" hidden="1" customHeight="1" x14ac:dyDescent="0.2">
      <c r="A18" s="98"/>
      <c r="B18" s="98"/>
      <c r="C18" s="98"/>
      <c r="D18" s="98"/>
      <c r="E18" s="98"/>
      <c r="F18" s="98"/>
    </row>
    <row r="19" spans="1:6" ht="15" customHeight="1" x14ac:dyDescent="0.2">
      <c r="A19" s="97" t="s">
        <v>14</v>
      </c>
      <c r="B19" s="97"/>
      <c r="C19" s="97"/>
      <c r="D19" s="97"/>
      <c r="E19" s="97"/>
      <c r="F19" s="97"/>
    </row>
    <row r="20" spans="1:6" ht="61.5" customHeight="1" x14ac:dyDescent="0.2">
      <c r="A20" s="99" t="s">
        <v>15</v>
      </c>
      <c r="B20" s="99"/>
      <c r="C20" s="99"/>
      <c r="D20" s="99"/>
      <c r="E20" s="99"/>
      <c r="F20" s="99"/>
    </row>
    <row r="21" spans="1:6" ht="15.75" customHeight="1" x14ac:dyDescent="0.2">
      <c r="A21" s="93" t="s">
        <v>16</v>
      </c>
      <c r="B21" s="93"/>
      <c r="C21" s="93"/>
      <c r="D21" s="93"/>
      <c r="E21" s="93"/>
      <c r="F21" s="93"/>
    </row>
    <row r="22" spans="1:6" ht="14.25" customHeight="1" x14ac:dyDescent="0.2">
      <c r="A22" s="94" t="s">
        <v>17</v>
      </c>
      <c r="B22" s="94"/>
      <c r="C22" s="94"/>
      <c r="D22" s="95" t="s">
        <v>18</v>
      </c>
      <c r="E22" s="95"/>
      <c r="F22" s="95"/>
    </row>
    <row r="23" spans="1:6" ht="29.25" customHeight="1" x14ac:dyDescent="0.2">
      <c r="A23" s="91" t="s">
        <v>19</v>
      </c>
      <c r="B23" s="91"/>
      <c r="C23" s="91"/>
      <c r="D23" s="92">
        <v>4122669532</v>
      </c>
      <c r="E23" s="92"/>
      <c r="F23" s="92"/>
    </row>
    <row r="24" spans="1:6" ht="15.75" customHeight="1" x14ac:dyDescent="0.2">
      <c r="A24" s="89" t="s">
        <v>20</v>
      </c>
      <c r="B24" s="89"/>
      <c r="C24" s="89"/>
      <c r="D24" s="90" t="s">
        <v>18</v>
      </c>
      <c r="E24" s="90"/>
      <c r="F24" s="90"/>
    </row>
    <row r="25" spans="1:6" ht="29.25" customHeight="1" x14ac:dyDescent="0.2">
      <c r="A25" s="91" t="s">
        <v>21</v>
      </c>
      <c r="B25" s="91"/>
      <c r="C25" s="91"/>
      <c r="D25" s="92">
        <v>4128186298</v>
      </c>
      <c r="E25" s="92"/>
      <c r="F25" s="92"/>
    </row>
    <row r="26" spans="1:6" ht="12.75" customHeight="1" x14ac:dyDescent="0.2">
      <c r="A26" s="87" t="s">
        <v>22</v>
      </c>
      <c r="B26" s="87"/>
      <c r="C26" s="87"/>
      <c r="D26" s="87"/>
      <c r="E26" s="87"/>
      <c r="F26" s="87"/>
    </row>
    <row r="27" spans="1:6" ht="14.25" hidden="1" customHeight="1" x14ac:dyDescent="0.2">
      <c r="A27" s="86" t="s">
        <v>23</v>
      </c>
      <c r="B27" s="86"/>
      <c r="C27" s="86"/>
      <c r="D27" s="86"/>
      <c r="E27" s="86"/>
      <c r="F27" s="86"/>
    </row>
    <row r="28" spans="1:6" ht="38.25" customHeight="1" x14ac:dyDescent="0.2">
      <c r="A28" s="86"/>
      <c r="B28" s="86"/>
      <c r="C28" s="86"/>
      <c r="D28" s="86"/>
      <c r="E28" s="86"/>
      <c r="F28" s="86"/>
    </row>
    <row r="29" spans="1:6" ht="14.25" customHeight="1" x14ac:dyDescent="0.2">
      <c r="A29" s="87" t="s">
        <v>24</v>
      </c>
      <c r="B29" s="87"/>
      <c r="C29" s="87"/>
      <c r="D29" s="87"/>
      <c r="E29" s="87"/>
      <c r="F29" s="87"/>
    </row>
    <row r="30" spans="1:6" x14ac:dyDescent="0.2">
      <c r="A30" s="88" t="s">
        <v>25</v>
      </c>
      <c r="B30" s="88"/>
      <c r="C30" s="88"/>
      <c r="D30" s="88"/>
      <c r="E30" s="88"/>
      <c r="F30" s="88"/>
    </row>
    <row r="31" spans="1:6" x14ac:dyDescent="0.2">
      <c r="A31" s="88"/>
      <c r="B31" s="88"/>
      <c r="C31" s="88"/>
      <c r="D31" s="88"/>
      <c r="E31" s="88"/>
      <c r="F31" s="88"/>
    </row>
    <row r="32" spans="1:6" x14ac:dyDescent="0.2">
      <c r="A32" s="88"/>
      <c r="B32" s="88"/>
      <c r="C32" s="88"/>
      <c r="D32" s="88"/>
      <c r="E32" s="88"/>
      <c r="F32" s="88"/>
    </row>
    <row r="33" spans="1:6" x14ac:dyDescent="0.2">
      <c r="A33" s="88"/>
      <c r="B33" s="88"/>
      <c r="C33" s="88"/>
      <c r="D33" s="88"/>
      <c r="E33" s="88"/>
      <c r="F33" s="88"/>
    </row>
    <row r="34" spans="1:6" x14ac:dyDescent="0.2">
      <c r="A34" s="6"/>
      <c r="B34" s="6"/>
      <c r="C34" s="6"/>
      <c r="D34" s="6"/>
      <c r="E34" s="6"/>
      <c r="F34" s="6"/>
    </row>
  </sheetData>
  <mergeCells count="36">
    <mergeCell ref="A2:A4"/>
    <mergeCell ref="B2:F2"/>
    <mergeCell ref="B3:F3"/>
    <mergeCell ref="B4:F4"/>
    <mergeCell ref="A5:F5"/>
    <mergeCell ref="A6:B6"/>
    <mergeCell ref="C6:D6"/>
    <mergeCell ref="E6:F6"/>
    <mergeCell ref="A7:B8"/>
    <mergeCell ref="C7:D8"/>
    <mergeCell ref="E7:F8"/>
    <mergeCell ref="A9:F9"/>
    <mergeCell ref="A10:B10"/>
    <mergeCell ref="C10:D10"/>
    <mergeCell ref="E10:F10"/>
    <mergeCell ref="A11:B12"/>
    <mergeCell ref="C11:D12"/>
    <mergeCell ref="E11:F12"/>
    <mergeCell ref="A14:F14"/>
    <mergeCell ref="A16:F16"/>
    <mergeCell ref="A17:F18"/>
    <mergeCell ref="A19:F19"/>
    <mergeCell ref="A20:F20"/>
    <mergeCell ref="A21:F21"/>
    <mergeCell ref="A22:C22"/>
    <mergeCell ref="D22:F22"/>
    <mergeCell ref="A23:C23"/>
    <mergeCell ref="D23:F23"/>
    <mergeCell ref="A27:F28"/>
    <mergeCell ref="A29:F29"/>
    <mergeCell ref="A30:F33"/>
    <mergeCell ref="A24:C24"/>
    <mergeCell ref="D24:F24"/>
    <mergeCell ref="A25:C25"/>
    <mergeCell ref="D25:F25"/>
    <mergeCell ref="A26:F26"/>
  </mergeCells>
  <pageMargins left="0.39374999999999999" right="0.39374999999999999" top="0.39374999999999999" bottom="0.39374999999999999" header="0.511811023622047" footer="0.511811023622047"/>
  <pageSetup orientation="landscape" horizontalDpi="300" verticalDpi="30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33"/>
  <sheetViews>
    <sheetView tabSelected="1" topLeftCell="A4" zoomScale="90" zoomScaleNormal="90" workbookViewId="0">
      <selection activeCell="Q18" sqref="Q18"/>
    </sheetView>
  </sheetViews>
  <sheetFormatPr baseColWidth="10" defaultColWidth="11" defaultRowHeight="14.25" customHeight="1" x14ac:dyDescent="0.25"/>
  <cols>
    <col min="1" max="1" width="4" style="7" customWidth="1"/>
    <col min="2" max="2" width="27.85546875" style="7" customWidth="1"/>
    <col min="3" max="3" width="22.28515625" style="7" customWidth="1"/>
    <col min="4" max="4" width="28.7109375" style="7" customWidth="1"/>
    <col min="5" max="5" width="32.85546875" style="7" customWidth="1"/>
    <col min="6" max="6" width="7.7109375" style="7" customWidth="1"/>
    <col min="7" max="7" width="8.140625" style="7" customWidth="1"/>
    <col min="8" max="8" width="31.7109375" style="8" customWidth="1"/>
    <col min="9" max="9" width="26.42578125" style="7" customWidth="1"/>
    <col min="10" max="10" width="11.28515625" style="7" hidden="1" customWidth="1"/>
    <col min="11" max="11" width="5.42578125" style="7" customWidth="1"/>
    <col min="12" max="12" width="4.5703125" style="7" customWidth="1"/>
    <col min="13" max="13" width="3" style="7" customWidth="1"/>
    <col min="14" max="14" width="11.5703125" style="7" hidden="1" customWidth="1"/>
    <col min="15" max="16" width="11" style="7" customWidth="1"/>
    <col min="17" max="16384" width="11" style="7"/>
  </cols>
  <sheetData>
    <row r="2" spans="1:14" x14ac:dyDescent="0.25">
      <c r="A2" s="114"/>
      <c r="B2" s="114"/>
      <c r="C2" s="115"/>
      <c r="D2" s="115"/>
      <c r="E2" s="115"/>
      <c r="F2" s="115"/>
      <c r="G2" s="115"/>
      <c r="H2" s="115"/>
      <c r="I2" s="115"/>
    </row>
    <row r="3" spans="1:14" ht="14.25" customHeight="1" x14ac:dyDescent="0.25">
      <c r="A3" s="114"/>
      <c r="B3" s="114"/>
      <c r="C3" s="116" t="s">
        <v>26</v>
      </c>
      <c r="D3" s="116"/>
      <c r="E3" s="116"/>
      <c r="F3" s="116"/>
      <c r="G3" s="116"/>
      <c r="H3" s="116"/>
      <c r="I3" s="116"/>
    </row>
    <row r="4" spans="1:14" x14ac:dyDescent="0.25">
      <c r="A4" s="114"/>
      <c r="B4" s="114"/>
      <c r="C4" s="117"/>
      <c r="D4" s="117"/>
      <c r="E4" s="117"/>
      <c r="F4" s="117"/>
      <c r="G4" s="117"/>
      <c r="H4" s="117"/>
      <c r="I4" s="117"/>
    </row>
    <row r="6" spans="1:14" s="12" customFormat="1" ht="35.25" customHeight="1" x14ac:dyDescent="0.25">
      <c r="A6" s="118" t="s">
        <v>27</v>
      </c>
      <c r="B6" s="118" t="s">
        <v>28</v>
      </c>
      <c r="C6" s="118"/>
      <c r="D6" s="118" t="s">
        <v>29</v>
      </c>
      <c r="E6" s="118" t="s">
        <v>30</v>
      </c>
      <c r="F6" s="119" t="s">
        <v>31</v>
      </c>
      <c r="G6" s="119"/>
      <c r="H6" s="118" t="s">
        <v>32</v>
      </c>
      <c r="I6" s="118" t="s">
        <v>33</v>
      </c>
      <c r="J6" s="11"/>
    </row>
    <row r="7" spans="1:14" s="12" customFormat="1" ht="15.75" customHeight="1" x14ac:dyDescent="0.25">
      <c r="A7" s="118"/>
      <c r="B7" s="118"/>
      <c r="C7" s="118"/>
      <c r="D7" s="118"/>
      <c r="E7" s="118"/>
      <c r="F7" s="9" t="s">
        <v>34</v>
      </c>
      <c r="G7" s="9" t="s">
        <v>35</v>
      </c>
      <c r="H7" s="118"/>
      <c r="I7" s="118"/>
      <c r="J7" s="11"/>
    </row>
    <row r="8" spans="1:14" s="12" customFormat="1" ht="15.75" customHeight="1" x14ac:dyDescent="0.25">
      <c r="A8" s="111" t="s">
        <v>36</v>
      </c>
      <c r="B8" s="111"/>
      <c r="C8" s="111"/>
      <c r="D8" s="111"/>
      <c r="E8" s="111"/>
      <c r="F8" s="111"/>
      <c r="G8" s="111"/>
      <c r="H8" s="111"/>
      <c r="I8" s="111"/>
      <c r="J8" s="11"/>
    </row>
    <row r="9" spans="1:14" ht="43.5" customHeight="1" x14ac:dyDescent="0.25">
      <c r="A9" s="5">
        <v>1</v>
      </c>
      <c r="B9" s="112" t="s">
        <v>37</v>
      </c>
      <c r="C9" s="112"/>
      <c r="D9" s="13">
        <v>46297.833333333336</v>
      </c>
      <c r="E9" s="13">
        <f>D9+N9</f>
        <v>46297.840277777781</v>
      </c>
      <c r="F9" s="5"/>
      <c r="G9" s="5" t="s">
        <v>38</v>
      </c>
      <c r="H9" s="14" t="s">
        <v>39</v>
      </c>
      <c r="I9" s="4"/>
      <c r="J9" s="15"/>
      <c r="N9" s="16">
        <v>6.9444444444444397E-3</v>
      </c>
    </row>
    <row r="10" spans="1:14" ht="54.75" customHeight="1" x14ac:dyDescent="0.25">
      <c r="A10" s="5">
        <v>2</v>
      </c>
      <c r="B10" s="112" t="s">
        <v>40</v>
      </c>
      <c r="C10" s="112"/>
      <c r="D10" s="13">
        <f>E9</f>
        <v>46297.840277777781</v>
      </c>
      <c r="E10" s="13">
        <f>D10+N10</f>
        <v>46297.847222222226</v>
      </c>
      <c r="F10" s="5"/>
      <c r="G10" s="5" t="s">
        <v>38</v>
      </c>
      <c r="H10" s="14" t="s">
        <v>41</v>
      </c>
      <c r="I10" s="4"/>
      <c r="J10" s="15"/>
      <c r="N10" s="17">
        <v>6.9444444444444397E-3</v>
      </c>
    </row>
    <row r="11" spans="1:14" ht="15.75" customHeight="1" x14ac:dyDescent="0.25">
      <c r="A11" s="113" t="s">
        <v>42</v>
      </c>
      <c r="B11" s="113"/>
      <c r="C11" s="113"/>
      <c r="D11" s="113"/>
      <c r="E11" s="113"/>
      <c r="F11" s="113"/>
      <c r="G11" s="113"/>
      <c r="H11" s="113"/>
      <c r="I11" s="113"/>
      <c r="J11" s="11"/>
      <c r="K11" s="12"/>
      <c r="L11" s="12"/>
      <c r="M11" s="12"/>
      <c r="N11" s="12"/>
    </row>
    <row r="12" spans="1:14" ht="54.75" customHeight="1" x14ac:dyDescent="0.25">
      <c r="A12" s="5">
        <v>3</v>
      </c>
      <c r="B12" s="112" t="s">
        <v>43</v>
      </c>
      <c r="C12" s="112"/>
      <c r="D12" s="18">
        <f>E10</f>
        <v>46297.847222222226</v>
      </c>
      <c r="E12" s="18">
        <f>D12+N12</f>
        <v>46297.854166666672</v>
      </c>
      <c r="F12" s="5"/>
      <c r="G12" s="5" t="s">
        <v>38</v>
      </c>
      <c r="H12" s="4" t="s">
        <v>44</v>
      </c>
      <c r="I12" s="4"/>
      <c r="J12" s="15"/>
      <c r="N12" s="17">
        <v>6.9444444444444441E-3</v>
      </c>
    </row>
    <row r="13" spans="1:14" ht="43.5" customHeight="1" x14ac:dyDescent="0.25">
      <c r="A13" s="5">
        <v>4</v>
      </c>
      <c r="B13" s="107" t="s">
        <v>45</v>
      </c>
      <c r="C13" s="107"/>
      <c r="D13" s="18">
        <f t="shared" ref="D13:D33" si="0">E12</f>
        <v>46297.854166666672</v>
      </c>
      <c r="E13" s="18">
        <f t="shared" ref="E13:E21" si="1">D13+N13</f>
        <v>46297.857638888891</v>
      </c>
      <c r="F13" s="5"/>
      <c r="G13" s="5" t="s">
        <v>38</v>
      </c>
      <c r="H13" s="4" t="s">
        <v>44</v>
      </c>
      <c r="I13" s="4"/>
      <c r="J13" s="15"/>
      <c r="N13" s="17">
        <v>3.4722222222222199E-3</v>
      </c>
    </row>
    <row r="14" spans="1:14" ht="59.25" customHeight="1" x14ac:dyDescent="0.25">
      <c r="A14" s="5">
        <v>5</v>
      </c>
      <c r="B14" s="107" t="s">
        <v>98</v>
      </c>
      <c r="C14" s="107"/>
      <c r="D14" s="18">
        <f t="shared" si="0"/>
        <v>46297.857638888891</v>
      </c>
      <c r="E14" s="18">
        <f t="shared" si="1"/>
        <v>46297.861111111109</v>
      </c>
      <c r="F14" s="5"/>
      <c r="G14" s="5" t="s">
        <v>38</v>
      </c>
      <c r="H14" s="4" t="s">
        <v>44</v>
      </c>
      <c r="I14" s="4"/>
      <c r="J14" s="15"/>
      <c r="N14" s="17">
        <v>3.4722222222222199E-3</v>
      </c>
    </row>
    <row r="15" spans="1:14" ht="48" customHeight="1" x14ac:dyDescent="0.25">
      <c r="A15" s="5">
        <v>6</v>
      </c>
      <c r="B15" s="107" t="s">
        <v>104</v>
      </c>
      <c r="C15" s="107"/>
      <c r="D15" s="18">
        <f t="shared" si="0"/>
        <v>46297.861111111109</v>
      </c>
      <c r="E15" s="18">
        <f>D15+N15</f>
        <v>46297.871527777774</v>
      </c>
      <c r="F15" s="5"/>
      <c r="G15" s="5" t="s">
        <v>38</v>
      </c>
      <c r="H15" s="14" t="s">
        <v>39</v>
      </c>
      <c r="I15" s="4"/>
      <c r="J15" s="15"/>
      <c r="N15" s="17">
        <v>1.0416666666666666E-2</v>
      </c>
    </row>
    <row r="16" spans="1:14" ht="61.5" customHeight="1" x14ac:dyDescent="0.25">
      <c r="A16" s="5">
        <v>7</v>
      </c>
      <c r="B16" s="107" t="s">
        <v>105</v>
      </c>
      <c r="C16" s="107"/>
      <c r="D16" s="18">
        <f t="shared" si="0"/>
        <v>46297.871527777774</v>
      </c>
      <c r="E16" s="18">
        <f t="shared" si="1"/>
        <v>46297.874999999993</v>
      </c>
      <c r="F16" s="5"/>
      <c r="G16" s="5" t="s">
        <v>38</v>
      </c>
      <c r="H16" s="14" t="s">
        <v>39</v>
      </c>
      <c r="I16" s="4"/>
      <c r="J16" s="15"/>
      <c r="N16" s="17">
        <v>3.4722222222222199E-3</v>
      </c>
    </row>
    <row r="17" spans="1:14" ht="42.75" x14ac:dyDescent="0.2">
      <c r="A17" s="53">
        <v>8</v>
      </c>
      <c r="B17" s="109" t="s">
        <v>111</v>
      </c>
      <c r="C17" s="109"/>
      <c r="D17" s="54">
        <f t="shared" si="0"/>
        <v>46297.874999999993</v>
      </c>
      <c r="E17" s="55">
        <f>D17+N17</f>
        <v>46297.878472222212</v>
      </c>
      <c r="F17" s="56" t="s">
        <v>38</v>
      </c>
      <c r="G17" s="57"/>
      <c r="H17" s="58" t="s">
        <v>44</v>
      </c>
      <c r="I17" s="57"/>
      <c r="J17" s="59"/>
      <c r="K17" s="59"/>
      <c r="N17" s="60">
        <v>3.4722222222222199E-3</v>
      </c>
    </row>
    <row r="18" spans="1:14" ht="53.25" customHeight="1" x14ac:dyDescent="0.2">
      <c r="A18" s="53">
        <v>9</v>
      </c>
      <c r="B18" s="109" t="s">
        <v>113</v>
      </c>
      <c r="C18" s="109"/>
      <c r="D18" s="54">
        <f t="shared" si="0"/>
        <v>46297.878472222212</v>
      </c>
      <c r="E18" s="55">
        <f>D18+N18</f>
        <v>46297.885416666657</v>
      </c>
      <c r="F18" s="56" t="s">
        <v>38</v>
      </c>
      <c r="G18" s="57"/>
      <c r="H18" s="58" t="s">
        <v>114</v>
      </c>
      <c r="I18" s="57"/>
      <c r="J18" s="59"/>
      <c r="K18" s="59"/>
      <c r="N18" s="60">
        <v>6.9444444444444441E-3</v>
      </c>
    </row>
    <row r="19" spans="1:14" ht="48.75" customHeight="1" x14ac:dyDescent="0.2">
      <c r="A19" s="53">
        <v>10</v>
      </c>
      <c r="B19" s="110" t="s">
        <v>115</v>
      </c>
      <c r="C19" s="110"/>
      <c r="D19" s="54">
        <f t="shared" si="0"/>
        <v>46297.885416666657</v>
      </c>
      <c r="E19" s="55">
        <f>D19+N19</f>
        <v>46297.888888888876</v>
      </c>
      <c r="F19" s="56"/>
      <c r="G19" s="56" t="s">
        <v>38</v>
      </c>
      <c r="H19" s="58" t="s">
        <v>114</v>
      </c>
      <c r="I19" s="57"/>
      <c r="J19" s="59"/>
      <c r="K19" s="59"/>
      <c r="N19" s="60">
        <v>3.4722222222222199E-3</v>
      </c>
    </row>
    <row r="20" spans="1:14" ht="56.45" customHeight="1" x14ac:dyDescent="0.25">
      <c r="A20" s="53">
        <v>11</v>
      </c>
      <c r="B20" s="107" t="s">
        <v>99</v>
      </c>
      <c r="C20" s="107"/>
      <c r="D20" s="54">
        <f t="shared" si="0"/>
        <v>46297.888888888876</v>
      </c>
      <c r="E20" s="18">
        <f t="shared" si="1"/>
        <v>46297.89930555554</v>
      </c>
      <c r="F20" s="5"/>
      <c r="G20" s="5" t="s">
        <v>38</v>
      </c>
      <c r="H20" s="4" t="s">
        <v>44</v>
      </c>
      <c r="I20" s="4"/>
      <c r="N20" s="17">
        <v>1.0416666666666666E-2</v>
      </c>
    </row>
    <row r="21" spans="1:14" ht="51.75" customHeight="1" x14ac:dyDescent="0.25">
      <c r="A21" s="53">
        <v>12</v>
      </c>
      <c r="B21" s="108" t="s">
        <v>101</v>
      </c>
      <c r="C21" s="108"/>
      <c r="D21" s="54">
        <f t="shared" si="0"/>
        <v>46297.89930555554</v>
      </c>
      <c r="E21" s="18">
        <f t="shared" si="1"/>
        <v>46297.902777777759</v>
      </c>
      <c r="F21" s="5"/>
      <c r="G21" s="5" t="s">
        <v>38</v>
      </c>
      <c r="H21" s="4" t="s">
        <v>44</v>
      </c>
      <c r="I21" s="4"/>
      <c r="N21" s="17">
        <v>3.4722222222222199E-3</v>
      </c>
    </row>
    <row r="22" spans="1:14" ht="60" customHeight="1" x14ac:dyDescent="0.25">
      <c r="A22" s="53">
        <v>13</v>
      </c>
      <c r="B22" s="107" t="s">
        <v>100</v>
      </c>
      <c r="C22" s="107"/>
      <c r="D22" s="54">
        <f t="shared" si="0"/>
        <v>46297.902777777759</v>
      </c>
      <c r="E22" s="18">
        <f t="shared" ref="E22:E33" si="2">D22+N22</f>
        <v>46297.913194444423</v>
      </c>
      <c r="F22" s="5"/>
      <c r="G22" s="5" t="s">
        <v>38</v>
      </c>
      <c r="H22" s="4" t="s">
        <v>44</v>
      </c>
      <c r="I22" s="4"/>
      <c r="N22" s="17">
        <v>1.0416666666666666E-2</v>
      </c>
    </row>
    <row r="23" spans="1:14" ht="57.75" customHeight="1" x14ac:dyDescent="0.25">
      <c r="A23" s="53">
        <v>14</v>
      </c>
      <c r="B23" s="108" t="s">
        <v>46</v>
      </c>
      <c r="C23" s="108"/>
      <c r="D23" s="54">
        <f t="shared" si="0"/>
        <v>46297.913194444423</v>
      </c>
      <c r="E23" s="18">
        <f t="shared" si="2"/>
        <v>46297.916666666642</v>
      </c>
      <c r="F23" s="5"/>
      <c r="G23" s="5" t="s">
        <v>38</v>
      </c>
      <c r="H23" s="4" t="s">
        <v>44</v>
      </c>
      <c r="I23" s="4"/>
      <c r="N23" s="17">
        <v>3.4722222222222199E-3</v>
      </c>
    </row>
    <row r="24" spans="1:14" ht="64.5" customHeight="1" x14ac:dyDescent="0.25">
      <c r="A24" s="53">
        <v>15</v>
      </c>
      <c r="B24" s="107" t="s">
        <v>103</v>
      </c>
      <c r="C24" s="107"/>
      <c r="D24" s="54">
        <f t="shared" si="0"/>
        <v>46297.916666666642</v>
      </c>
      <c r="E24" s="18">
        <f t="shared" si="2"/>
        <v>46297.927083333307</v>
      </c>
      <c r="F24" s="5"/>
      <c r="G24" s="5" t="s">
        <v>38</v>
      </c>
      <c r="H24" s="4" t="s">
        <v>44</v>
      </c>
      <c r="I24" s="4"/>
      <c r="N24" s="17">
        <v>1.0416666666666666E-2</v>
      </c>
    </row>
    <row r="25" spans="1:14" ht="43.5" customHeight="1" x14ac:dyDescent="0.25">
      <c r="A25" s="53">
        <v>16</v>
      </c>
      <c r="B25" s="108" t="s">
        <v>47</v>
      </c>
      <c r="C25" s="108"/>
      <c r="D25" s="54">
        <f t="shared" si="0"/>
        <v>46297.927083333307</v>
      </c>
      <c r="E25" s="18">
        <f t="shared" si="2"/>
        <v>46297.930555555526</v>
      </c>
      <c r="F25" s="5"/>
      <c r="G25" s="5" t="s">
        <v>38</v>
      </c>
      <c r="H25" s="4" t="s">
        <v>44</v>
      </c>
      <c r="I25" s="4"/>
      <c r="N25" s="17">
        <v>3.472222222222222E-3</v>
      </c>
    </row>
    <row r="26" spans="1:14" ht="59.65" customHeight="1" x14ac:dyDescent="0.25">
      <c r="A26" s="53">
        <v>17</v>
      </c>
      <c r="B26" s="107" t="s">
        <v>102</v>
      </c>
      <c r="C26" s="107"/>
      <c r="D26" s="54">
        <f t="shared" si="0"/>
        <v>46297.930555555526</v>
      </c>
      <c r="E26" s="18">
        <f t="shared" si="2"/>
        <v>46297.94097222219</v>
      </c>
      <c r="F26" s="5"/>
      <c r="G26" s="5" t="s">
        <v>38</v>
      </c>
      <c r="H26" s="4" t="s">
        <v>44</v>
      </c>
      <c r="I26" s="4"/>
      <c r="N26" s="17">
        <v>1.0416666666666666E-2</v>
      </c>
    </row>
    <row r="27" spans="1:14" ht="51" customHeight="1" x14ac:dyDescent="0.25">
      <c r="A27" s="53">
        <v>18</v>
      </c>
      <c r="B27" s="108" t="s">
        <v>48</v>
      </c>
      <c r="C27" s="108"/>
      <c r="D27" s="54">
        <f t="shared" si="0"/>
        <v>46297.94097222219</v>
      </c>
      <c r="E27" s="18">
        <f>D27+N27</f>
        <v>46297.944444444409</v>
      </c>
      <c r="F27" s="5"/>
      <c r="G27" s="5" t="s">
        <v>38</v>
      </c>
      <c r="H27" s="4" t="s">
        <v>44</v>
      </c>
      <c r="I27" s="4"/>
      <c r="N27" s="17">
        <v>3.4722222222222199E-3</v>
      </c>
    </row>
    <row r="28" spans="1:14" ht="59.65" customHeight="1" x14ac:dyDescent="0.2">
      <c r="A28" s="53">
        <v>19</v>
      </c>
      <c r="B28" s="109" t="s">
        <v>117</v>
      </c>
      <c r="C28" s="109"/>
      <c r="D28" s="54">
        <f t="shared" si="0"/>
        <v>46297.944444444409</v>
      </c>
      <c r="E28" s="55">
        <f>D28+N28</f>
        <v>46297.954861111073</v>
      </c>
      <c r="F28" s="57"/>
      <c r="G28" s="56" t="s">
        <v>38</v>
      </c>
      <c r="H28" s="58" t="s">
        <v>44</v>
      </c>
      <c r="I28" s="57"/>
      <c r="J28" s="59"/>
      <c r="K28" s="59"/>
      <c r="N28" s="60">
        <v>1.0416666666666701E-2</v>
      </c>
    </row>
    <row r="29" spans="1:14" ht="59.65" customHeight="1" x14ac:dyDescent="0.2">
      <c r="A29" s="53">
        <v>20</v>
      </c>
      <c r="B29" s="109" t="s">
        <v>116</v>
      </c>
      <c r="C29" s="109"/>
      <c r="D29" s="54">
        <f t="shared" si="0"/>
        <v>46297.954861111073</v>
      </c>
      <c r="E29" s="55">
        <f>D29+N29</f>
        <v>46297.958333333292</v>
      </c>
      <c r="F29" s="57"/>
      <c r="G29" s="56" t="s">
        <v>38</v>
      </c>
      <c r="H29" s="58" t="s">
        <v>44</v>
      </c>
      <c r="I29" s="57"/>
      <c r="J29" s="59"/>
      <c r="K29" s="59"/>
      <c r="N29" s="60">
        <v>3.4722222222222199E-3</v>
      </c>
    </row>
    <row r="30" spans="1:14" ht="42.75" x14ac:dyDescent="0.25">
      <c r="A30" s="53">
        <v>21</v>
      </c>
      <c r="B30" s="108" t="s">
        <v>108</v>
      </c>
      <c r="C30" s="108"/>
      <c r="D30" s="54">
        <f t="shared" si="0"/>
        <v>46297.958333333292</v>
      </c>
      <c r="E30" s="18">
        <f t="shared" si="2"/>
        <v>46297.961805555511</v>
      </c>
      <c r="F30" s="5"/>
      <c r="G30" s="5" t="s">
        <v>38</v>
      </c>
      <c r="H30" s="4" t="s">
        <v>44</v>
      </c>
      <c r="I30" s="4"/>
      <c r="N30" s="17">
        <v>3.472222222222222E-3</v>
      </c>
    </row>
    <row r="31" spans="1:14" ht="38.25" x14ac:dyDescent="0.25">
      <c r="A31" s="53">
        <v>22</v>
      </c>
      <c r="B31" s="107" t="s">
        <v>49</v>
      </c>
      <c r="C31" s="107"/>
      <c r="D31" s="54">
        <f t="shared" si="0"/>
        <v>46297.961805555511</v>
      </c>
      <c r="E31" s="18">
        <f t="shared" si="2"/>
        <v>46297.968749999956</v>
      </c>
      <c r="F31" s="5"/>
      <c r="G31" s="5" t="s">
        <v>38</v>
      </c>
      <c r="H31" s="14" t="s">
        <v>41</v>
      </c>
      <c r="I31" s="4"/>
      <c r="N31" s="17">
        <v>6.9444444444444441E-3</v>
      </c>
    </row>
    <row r="32" spans="1:14" ht="38.25" x14ac:dyDescent="0.25">
      <c r="A32" s="53">
        <v>23</v>
      </c>
      <c r="B32" s="157" t="s">
        <v>50</v>
      </c>
      <c r="C32" s="157"/>
      <c r="D32" s="54">
        <f t="shared" si="0"/>
        <v>46297.968749999956</v>
      </c>
      <c r="E32" s="158">
        <f t="shared" si="2"/>
        <v>46297.972222222175</v>
      </c>
      <c r="F32" s="159"/>
      <c r="G32" s="159" t="s">
        <v>38</v>
      </c>
      <c r="H32" s="160" t="s">
        <v>41</v>
      </c>
      <c r="I32" s="161"/>
      <c r="N32" s="16">
        <v>3.472222222222222E-3</v>
      </c>
    </row>
    <row r="33" spans="1:14" ht="41.85" customHeight="1" x14ac:dyDescent="0.25">
      <c r="A33" s="53">
        <v>24</v>
      </c>
      <c r="B33" s="107" t="s">
        <v>51</v>
      </c>
      <c r="C33" s="107"/>
      <c r="D33" s="55">
        <f t="shared" si="0"/>
        <v>46297.972222222175</v>
      </c>
      <c r="E33" s="18">
        <f t="shared" si="2"/>
        <v>46297.979166666621</v>
      </c>
      <c r="F33" s="52"/>
      <c r="G33" s="52" t="s">
        <v>38</v>
      </c>
      <c r="H33" s="51" t="s">
        <v>44</v>
      </c>
      <c r="I33" s="51"/>
      <c r="J33" s="34"/>
      <c r="K33" s="34"/>
      <c r="L33" s="34"/>
      <c r="M33" s="34"/>
      <c r="N33" s="17">
        <v>6.9444444444444441E-3</v>
      </c>
    </row>
  </sheetData>
  <mergeCells count="37">
    <mergeCell ref="A2:B4"/>
    <mergeCell ref="C2:I2"/>
    <mergeCell ref="C3:I3"/>
    <mergeCell ref="C4:I4"/>
    <mergeCell ref="A6:A7"/>
    <mergeCell ref="B6:C7"/>
    <mergeCell ref="D6:D7"/>
    <mergeCell ref="E6:E7"/>
    <mergeCell ref="F6:G6"/>
    <mergeCell ref="H6:H7"/>
    <mergeCell ref="I6:I7"/>
    <mergeCell ref="A8:I8"/>
    <mergeCell ref="B9:C9"/>
    <mergeCell ref="B10:C10"/>
    <mergeCell ref="A11:I11"/>
    <mergeCell ref="B12:C12"/>
    <mergeCell ref="B13:C13"/>
    <mergeCell ref="B14:C14"/>
    <mergeCell ref="B15:C15"/>
    <mergeCell ref="B16:C16"/>
    <mergeCell ref="B20:C20"/>
    <mergeCell ref="B17:C17"/>
    <mergeCell ref="B18:C18"/>
    <mergeCell ref="B19:C19"/>
    <mergeCell ref="B21:C21"/>
    <mergeCell ref="B22:C22"/>
    <mergeCell ref="B23:C23"/>
    <mergeCell ref="B24:C24"/>
    <mergeCell ref="B25:C25"/>
    <mergeCell ref="B33:C33"/>
    <mergeCell ref="B26:C26"/>
    <mergeCell ref="B27:C27"/>
    <mergeCell ref="B30:C30"/>
    <mergeCell ref="B31:C31"/>
    <mergeCell ref="B32:C32"/>
    <mergeCell ref="B28:C28"/>
    <mergeCell ref="B29:C29"/>
  </mergeCells>
  <pageMargins left="0.39374999999999999" right="0.39374999999999999" top="0.39374999999999999" bottom="0.39374999999999999" header="0.511811023622047" footer="0.511811023622047"/>
  <pageSetup orientation="landscape"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19"/>
  <sheetViews>
    <sheetView showGridLines="0" topLeftCell="A2" zoomScaleNormal="100" workbookViewId="0">
      <selection activeCell="A19" sqref="A19:XFD19"/>
    </sheetView>
  </sheetViews>
  <sheetFormatPr baseColWidth="10" defaultColWidth="11" defaultRowHeight="12.75" customHeight="1" x14ac:dyDescent="0.25"/>
  <cols>
    <col min="1" max="1" width="11" style="12"/>
    <col min="2" max="2" width="12.7109375" style="12" customWidth="1"/>
    <col min="3" max="3" width="12.140625" style="12" customWidth="1"/>
    <col min="4" max="4" width="9.7109375" style="12" customWidth="1"/>
    <col min="5" max="5" width="27.85546875" style="12" customWidth="1"/>
    <col min="6" max="6" width="26.7109375" style="12" customWidth="1"/>
    <col min="7" max="7" width="41.85546875" style="12" customWidth="1"/>
    <col min="8" max="8" width="6.28515625" style="12" customWidth="1"/>
    <col min="9" max="16384" width="11" style="12"/>
  </cols>
  <sheetData>
    <row r="2" spans="1:8" x14ac:dyDescent="0.25">
      <c r="A2" s="125"/>
      <c r="B2" s="125"/>
      <c r="C2" s="126"/>
      <c r="D2" s="126"/>
      <c r="E2" s="126"/>
      <c r="F2" s="126"/>
      <c r="G2" s="126"/>
    </row>
    <row r="3" spans="1:8" ht="12.75" customHeight="1" x14ac:dyDescent="0.25">
      <c r="A3" s="125"/>
      <c r="B3" s="125"/>
      <c r="C3" s="127" t="s">
        <v>52</v>
      </c>
      <c r="D3" s="127"/>
      <c r="E3" s="127"/>
      <c r="F3" s="127"/>
      <c r="G3" s="127"/>
    </row>
    <row r="4" spans="1:8" ht="21.75" customHeight="1" x14ac:dyDescent="0.25">
      <c r="A4" s="125"/>
      <c r="B4" s="125"/>
      <c r="C4" s="128"/>
      <c r="D4" s="128"/>
      <c r="E4" s="128"/>
      <c r="F4" s="128"/>
      <c r="G4" s="128"/>
    </row>
    <row r="5" spans="1:8" x14ac:dyDescent="0.25">
      <c r="A5" s="19"/>
      <c r="B5" s="19"/>
      <c r="C5" s="19"/>
      <c r="D5" s="19"/>
      <c r="E5" s="19"/>
      <c r="F5" s="19"/>
      <c r="G5" s="19"/>
    </row>
    <row r="7" spans="1:8" ht="14.25" customHeight="1" x14ac:dyDescent="0.25">
      <c r="A7" s="11"/>
      <c r="B7" s="20"/>
      <c r="C7" s="20"/>
      <c r="D7" s="129" t="s">
        <v>53</v>
      </c>
      <c r="E7" s="129"/>
      <c r="F7" s="129"/>
      <c r="G7" s="21"/>
    </row>
    <row r="8" spans="1:8" x14ac:dyDescent="0.25">
      <c r="A8" s="11"/>
      <c r="B8" s="11"/>
      <c r="C8" s="11"/>
      <c r="D8" s="123" t="s">
        <v>54</v>
      </c>
      <c r="E8" s="123"/>
      <c r="F8" s="23" t="s">
        <v>55</v>
      </c>
      <c r="G8" s="24"/>
    </row>
    <row r="9" spans="1:8" x14ac:dyDescent="0.25">
      <c r="A9" s="11"/>
      <c r="B9" s="11"/>
      <c r="C9" s="11"/>
      <c r="D9" s="123" t="s">
        <v>56</v>
      </c>
      <c r="E9" s="123"/>
      <c r="F9" s="23" t="s">
        <v>55</v>
      </c>
      <c r="G9" s="24"/>
    </row>
    <row r="10" spans="1:8" x14ac:dyDescent="0.25">
      <c r="A10" s="11"/>
      <c r="B10" s="11"/>
      <c r="C10" s="11"/>
      <c r="D10" s="123" t="s">
        <v>57</v>
      </c>
      <c r="E10" s="123"/>
      <c r="F10" s="23" t="s">
        <v>55</v>
      </c>
      <c r="G10" s="24"/>
    </row>
    <row r="11" spans="1:8" x14ac:dyDescent="0.25">
      <c r="A11" s="11"/>
      <c r="B11" s="11"/>
      <c r="C11" s="11"/>
      <c r="D11" s="123" t="s">
        <v>58</v>
      </c>
      <c r="E11" s="123"/>
      <c r="F11" s="23" t="s">
        <v>59</v>
      </c>
      <c r="G11" s="24"/>
    </row>
    <row r="12" spans="1:8" x14ac:dyDescent="0.25">
      <c r="A12" s="11"/>
      <c r="B12" s="11"/>
      <c r="C12" s="11"/>
      <c r="D12" s="24"/>
      <c r="E12" s="24"/>
      <c r="F12" s="24"/>
      <c r="G12" s="24"/>
    </row>
    <row r="13" spans="1:8" x14ac:dyDescent="0.25">
      <c r="A13" s="11"/>
      <c r="B13" s="11"/>
      <c r="C13" s="11"/>
      <c r="D13" s="24"/>
      <c r="E13" s="24"/>
      <c r="F13" s="24"/>
      <c r="G13" s="24"/>
    </row>
    <row r="15" spans="1:8" ht="14.25" customHeight="1" x14ac:dyDescent="0.25">
      <c r="A15" s="124" t="s">
        <v>60</v>
      </c>
      <c r="B15" s="124"/>
      <c r="C15" s="124"/>
      <c r="D15" s="124"/>
      <c r="E15" s="124"/>
      <c r="F15" s="124"/>
      <c r="G15" s="124"/>
    </row>
    <row r="16" spans="1:8" ht="42.75" customHeight="1" x14ac:dyDescent="0.25">
      <c r="A16" s="121" t="s">
        <v>61</v>
      </c>
      <c r="B16" s="121"/>
      <c r="C16" s="118" t="s">
        <v>62</v>
      </c>
      <c r="D16" s="118"/>
      <c r="E16" s="25" t="s">
        <v>63</v>
      </c>
      <c r="F16" s="26" t="s">
        <v>62</v>
      </c>
      <c r="G16" s="26" t="s">
        <v>64</v>
      </c>
      <c r="H16" s="24"/>
    </row>
    <row r="17" spans="1:8" ht="45.75" customHeight="1" x14ac:dyDescent="0.25">
      <c r="A17" s="122" t="s">
        <v>65</v>
      </c>
      <c r="B17" s="122"/>
      <c r="C17" s="122" t="s">
        <v>66</v>
      </c>
      <c r="D17" s="122"/>
      <c r="E17" s="22" t="s">
        <v>67</v>
      </c>
      <c r="F17" s="22" t="s">
        <v>66</v>
      </c>
      <c r="G17" s="14" t="s">
        <v>39</v>
      </c>
      <c r="H17" s="27"/>
    </row>
    <row r="18" spans="1:8" ht="37.5" customHeight="1" x14ac:dyDescent="0.25">
      <c r="A18" s="122" t="s">
        <v>68</v>
      </c>
      <c r="B18" s="122"/>
      <c r="C18" s="122" t="s">
        <v>66</v>
      </c>
      <c r="D18" s="122"/>
      <c r="E18" s="22" t="s">
        <v>69</v>
      </c>
      <c r="F18" s="22" t="s">
        <v>66</v>
      </c>
      <c r="G18" s="14" t="s">
        <v>41</v>
      </c>
      <c r="H18" s="27"/>
    </row>
    <row r="19" spans="1:8" ht="60.75" customHeight="1" x14ac:dyDescent="0.25">
      <c r="A19" s="120" t="s">
        <v>118</v>
      </c>
      <c r="B19" s="120"/>
      <c r="C19" s="120" t="s">
        <v>66</v>
      </c>
      <c r="D19" s="120"/>
      <c r="E19" s="58" t="s">
        <v>119</v>
      </c>
      <c r="F19" s="61" t="s">
        <v>66</v>
      </c>
      <c r="G19" s="58" t="s">
        <v>120</v>
      </c>
    </row>
  </sheetData>
  <mergeCells count="18">
    <mergeCell ref="A2:B4"/>
    <mergeCell ref="C2:G2"/>
    <mergeCell ref="C3:G3"/>
    <mergeCell ref="C4:G4"/>
    <mergeCell ref="D7:F7"/>
    <mergeCell ref="D8:E8"/>
    <mergeCell ref="D9:E9"/>
    <mergeCell ref="D10:E10"/>
    <mergeCell ref="D11:E11"/>
    <mergeCell ref="A15:G15"/>
    <mergeCell ref="A19:B19"/>
    <mergeCell ref="C19:D19"/>
    <mergeCell ref="A16:B16"/>
    <mergeCell ref="C16:D16"/>
    <mergeCell ref="A17:B17"/>
    <mergeCell ref="C17:D17"/>
    <mergeCell ref="A18:B18"/>
    <mergeCell ref="C18:D18"/>
  </mergeCells>
  <phoneticPr fontId="30" type="noConversion"/>
  <pageMargins left="0.39374999999999999" right="0.39374999999999999" top="0.39374999999999999" bottom="0.39374999999999999" header="0.511811023622047" footer="0.511811023622047"/>
  <pageSetup orientation="landscape" horizontalDpi="300" verticalDpi="300"/>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M29"/>
  <sheetViews>
    <sheetView showGridLines="0" topLeftCell="A9" zoomScaleNormal="100" workbookViewId="0">
      <selection activeCell="E14" sqref="E14"/>
    </sheetView>
  </sheetViews>
  <sheetFormatPr baseColWidth="10" defaultColWidth="11" defaultRowHeight="14.25" customHeight="1" x14ac:dyDescent="0.25"/>
  <cols>
    <col min="1" max="1" width="4" style="7" customWidth="1"/>
    <col min="2" max="2" width="12.7109375" style="7" customWidth="1"/>
    <col min="3" max="3" width="20.28515625" style="7" customWidth="1"/>
    <col min="4" max="4" width="17" style="7" customWidth="1"/>
    <col min="5" max="6" width="30.7109375" style="7" customWidth="1"/>
    <col min="7" max="7" width="34.85546875" style="12" customWidth="1"/>
    <col min="8" max="8" width="18.5703125" style="7" customWidth="1"/>
    <col min="9" max="10" width="3.140625" style="7" customWidth="1"/>
    <col min="11" max="11" width="2" style="7" hidden="1" customWidth="1"/>
    <col min="12" max="12" width="11.5703125" style="12" hidden="1" customWidth="1"/>
    <col min="13" max="13" width="9.5703125" style="7" hidden="1" customWidth="1"/>
    <col min="14" max="16384" width="11" style="7"/>
  </cols>
  <sheetData>
    <row r="2" spans="1:12" x14ac:dyDescent="0.25">
      <c r="A2" s="132"/>
      <c r="B2" s="132"/>
      <c r="C2" s="133"/>
      <c r="D2" s="133"/>
      <c r="E2" s="133"/>
      <c r="F2" s="133"/>
      <c r="G2" s="133"/>
      <c r="H2" s="133"/>
    </row>
    <row r="3" spans="1:12" x14ac:dyDescent="0.25">
      <c r="A3" s="132"/>
      <c r="B3" s="132"/>
      <c r="C3" s="134" t="s">
        <v>70</v>
      </c>
      <c r="D3" s="134"/>
      <c r="E3" s="134"/>
      <c r="F3" s="134"/>
      <c r="G3" s="134"/>
      <c r="H3" s="134"/>
    </row>
    <row r="4" spans="1:12" x14ac:dyDescent="0.25">
      <c r="A4" s="132"/>
      <c r="B4" s="132"/>
      <c r="C4" s="135"/>
      <c r="D4" s="135"/>
      <c r="E4" s="135"/>
      <c r="F4" s="135"/>
      <c r="G4" s="135"/>
      <c r="H4" s="135"/>
    </row>
    <row r="5" spans="1:12" x14ac:dyDescent="0.25">
      <c r="A5" s="28"/>
      <c r="B5" s="28"/>
      <c r="C5" s="28"/>
      <c r="D5" s="28"/>
      <c r="E5" s="28"/>
      <c r="F5" s="28"/>
      <c r="G5" s="19"/>
      <c r="H5" s="28"/>
    </row>
    <row r="7" spans="1:12" x14ac:dyDescent="0.25">
      <c r="A7" s="136" t="s">
        <v>71</v>
      </c>
      <c r="B7" s="136"/>
      <c r="C7" s="136"/>
      <c r="D7" s="136"/>
      <c r="E7" s="136"/>
      <c r="F7" s="136"/>
      <c r="G7" s="136"/>
      <c r="H7" s="136"/>
      <c r="I7" s="136"/>
    </row>
    <row r="8" spans="1:12" x14ac:dyDescent="0.25">
      <c r="A8" s="88"/>
      <c r="B8" s="88"/>
      <c r="C8" s="88"/>
      <c r="D8" s="88"/>
      <c r="E8" s="88"/>
      <c r="F8" s="88"/>
      <c r="G8" s="88"/>
      <c r="H8" s="88"/>
    </row>
    <row r="9" spans="1:12" x14ac:dyDescent="0.25">
      <c r="A9" s="88"/>
      <c r="B9" s="88"/>
      <c r="C9" s="88"/>
      <c r="D9" s="88"/>
      <c r="E9" s="88"/>
      <c r="F9" s="88"/>
      <c r="G9" s="88"/>
      <c r="H9" s="88"/>
    </row>
    <row r="10" spans="1:12" x14ac:dyDescent="0.25">
      <c r="A10" s="88"/>
      <c r="B10" s="88"/>
      <c r="C10" s="88"/>
      <c r="D10" s="88"/>
      <c r="E10" s="88"/>
      <c r="F10" s="88"/>
      <c r="G10" s="88"/>
      <c r="H10" s="88"/>
    </row>
    <row r="11" spans="1:12" x14ac:dyDescent="0.25">
      <c r="A11" s="29"/>
      <c r="B11" s="29"/>
      <c r="C11" s="29"/>
      <c r="D11" s="29"/>
      <c r="E11" s="29"/>
      <c r="F11" s="29"/>
      <c r="G11" s="24"/>
      <c r="H11" s="29"/>
      <c r="I11" s="15"/>
      <c r="J11" s="15"/>
      <c r="K11" s="15"/>
      <c r="L11" s="11"/>
    </row>
    <row r="12" spans="1:12" s="12" customFormat="1" ht="14.25" customHeight="1" x14ac:dyDescent="0.25">
      <c r="A12" s="131" t="s">
        <v>72</v>
      </c>
      <c r="B12" s="131"/>
      <c r="C12" s="131"/>
      <c r="D12" s="131"/>
      <c r="E12" s="131"/>
      <c r="F12" s="131"/>
      <c r="G12" s="131"/>
      <c r="H12" s="131"/>
      <c r="I12" s="7"/>
      <c r="J12" s="15"/>
      <c r="K12" s="7"/>
    </row>
    <row r="13" spans="1:12" ht="14.25" customHeight="1" x14ac:dyDescent="0.25">
      <c r="A13" s="26" t="s">
        <v>27</v>
      </c>
      <c r="B13" s="118" t="s">
        <v>28</v>
      </c>
      <c r="C13" s="118"/>
      <c r="D13" s="118"/>
      <c r="E13" s="30" t="s">
        <v>73</v>
      </c>
      <c r="F13" s="31" t="s">
        <v>30</v>
      </c>
      <c r="G13" s="26" t="s">
        <v>32</v>
      </c>
      <c r="H13" s="26" t="s">
        <v>33</v>
      </c>
      <c r="I13" s="11"/>
      <c r="J13" s="12"/>
      <c r="K13" s="12"/>
    </row>
    <row r="14" spans="1:12" ht="39.75" customHeight="1" x14ac:dyDescent="0.25">
      <c r="A14" s="5">
        <v>1</v>
      </c>
      <c r="B14" s="130" t="s">
        <v>74</v>
      </c>
      <c r="C14" s="130"/>
      <c r="D14" s="130"/>
      <c r="E14" s="32">
        <v>46297.979166666664</v>
      </c>
      <c r="F14" s="32">
        <f t="shared" ref="F14:F28" si="0">E14+L14</f>
        <v>46297.982638888883</v>
      </c>
      <c r="G14" s="50" t="s">
        <v>44</v>
      </c>
      <c r="H14" s="4"/>
      <c r="I14" s="15"/>
      <c r="L14" s="66">
        <v>3.4722222222222199E-3</v>
      </c>
    </row>
    <row r="15" spans="1:12" ht="43.5" customHeight="1" x14ac:dyDescent="0.25">
      <c r="A15" s="5">
        <v>2</v>
      </c>
      <c r="B15" s="130" t="s">
        <v>106</v>
      </c>
      <c r="C15" s="130"/>
      <c r="D15" s="130"/>
      <c r="E15" s="32">
        <f>F14</f>
        <v>46297.982638888883</v>
      </c>
      <c r="F15" s="32">
        <f t="shared" si="0"/>
        <v>46298.003472222219</v>
      </c>
      <c r="G15" s="50" t="s">
        <v>39</v>
      </c>
      <c r="H15" s="4"/>
      <c r="L15" s="66">
        <v>2.0833333333333301E-2</v>
      </c>
    </row>
    <row r="16" spans="1:12" ht="45.75" customHeight="1" x14ac:dyDescent="0.25">
      <c r="A16" s="5">
        <v>3</v>
      </c>
      <c r="B16" s="130" t="s">
        <v>107</v>
      </c>
      <c r="C16" s="130"/>
      <c r="D16" s="130"/>
      <c r="E16" s="32">
        <f>F15</f>
        <v>46298.003472222219</v>
      </c>
      <c r="F16" s="32">
        <f t="shared" si="0"/>
        <v>46298.010416666664</v>
      </c>
      <c r="G16" s="50" t="s">
        <v>39</v>
      </c>
      <c r="H16" s="4"/>
      <c r="L16" s="66">
        <v>6.9444444444444397E-3</v>
      </c>
    </row>
    <row r="17" spans="1:12" ht="43.5" customHeight="1" x14ac:dyDescent="0.25">
      <c r="A17" s="5">
        <v>4</v>
      </c>
      <c r="B17" s="130" t="s">
        <v>75</v>
      </c>
      <c r="C17" s="130"/>
      <c r="D17" s="130"/>
      <c r="E17" s="32">
        <f>F16</f>
        <v>46298.010416666664</v>
      </c>
      <c r="F17" s="32">
        <f t="shared" si="0"/>
        <v>46298.013888888883</v>
      </c>
      <c r="G17" s="50" t="s">
        <v>39</v>
      </c>
      <c r="H17" s="34"/>
      <c r="L17" s="66">
        <v>3.472222222222222E-3</v>
      </c>
    </row>
    <row r="18" spans="1:12" ht="43.5" customHeight="1" x14ac:dyDescent="0.2">
      <c r="A18" s="61">
        <v>5</v>
      </c>
      <c r="B18" s="130" t="s">
        <v>121</v>
      </c>
      <c r="C18" s="130"/>
      <c r="D18" s="130"/>
      <c r="E18" s="62">
        <f t="shared" ref="E18:E28" si="1">F17</f>
        <v>46298.013888888883</v>
      </c>
      <c r="F18" s="62">
        <f t="shared" si="0"/>
        <v>46298.017361111102</v>
      </c>
      <c r="G18" s="64" t="s">
        <v>44</v>
      </c>
      <c r="H18" s="57"/>
      <c r="I18" s="59"/>
      <c r="J18" s="59"/>
      <c r="K18" s="59"/>
      <c r="L18" s="63">
        <v>3.4722222222222199E-3</v>
      </c>
    </row>
    <row r="19" spans="1:12" ht="43.5" customHeight="1" x14ac:dyDescent="0.2">
      <c r="A19" s="61">
        <v>6</v>
      </c>
      <c r="B19" s="130" t="s">
        <v>122</v>
      </c>
      <c r="C19" s="130"/>
      <c r="D19" s="130"/>
      <c r="E19" s="62">
        <f t="shared" si="1"/>
        <v>46298.017361111102</v>
      </c>
      <c r="F19" s="62">
        <f t="shared" si="0"/>
        <v>46298.031249999993</v>
      </c>
      <c r="G19" s="65" t="s">
        <v>114</v>
      </c>
      <c r="H19" s="57"/>
      <c r="I19" s="59"/>
      <c r="J19" s="59"/>
      <c r="K19" s="59"/>
      <c r="L19" s="63">
        <v>1.38888888888889E-2</v>
      </c>
    </row>
    <row r="20" spans="1:12" ht="43.5" customHeight="1" x14ac:dyDescent="0.2">
      <c r="A20" s="61">
        <v>7</v>
      </c>
      <c r="B20" s="130" t="s">
        <v>123</v>
      </c>
      <c r="C20" s="130"/>
      <c r="D20" s="130"/>
      <c r="E20" s="62">
        <f t="shared" si="1"/>
        <v>46298.031249999993</v>
      </c>
      <c r="F20" s="62">
        <f t="shared" si="0"/>
        <v>46298.034722222212</v>
      </c>
      <c r="G20" s="65" t="s">
        <v>114</v>
      </c>
      <c r="H20" s="57"/>
      <c r="I20" s="59"/>
      <c r="J20" s="59"/>
      <c r="K20" s="59"/>
      <c r="L20" s="63">
        <v>3.4722222222222199E-3</v>
      </c>
    </row>
    <row r="21" spans="1:12" ht="48" customHeight="1" x14ac:dyDescent="0.25">
      <c r="A21" s="5">
        <v>9</v>
      </c>
      <c r="B21" s="107" t="s">
        <v>124</v>
      </c>
      <c r="C21" s="107"/>
      <c r="D21" s="107"/>
      <c r="E21" s="62">
        <f t="shared" si="1"/>
        <v>46298.034722222212</v>
      </c>
      <c r="F21" s="32">
        <f t="shared" si="0"/>
        <v>46298.045138888876</v>
      </c>
      <c r="G21" s="50" t="s">
        <v>44</v>
      </c>
      <c r="H21" s="34"/>
      <c r="L21" s="66">
        <v>1.0416666666666666E-2</v>
      </c>
    </row>
    <row r="22" spans="1:12" ht="36.75" customHeight="1" x14ac:dyDescent="0.25">
      <c r="A22" s="5">
        <v>10</v>
      </c>
      <c r="B22" s="130" t="s">
        <v>76</v>
      </c>
      <c r="C22" s="130"/>
      <c r="D22" s="130"/>
      <c r="E22" s="62">
        <f t="shared" si="1"/>
        <v>46298.045138888876</v>
      </c>
      <c r="F22" s="32">
        <f t="shared" si="0"/>
        <v>46298.048611111095</v>
      </c>
      <c r="G22" s="50" t="s">
        <v>44</v>
      </c>
      <c r="H22" s="34"/>
      <c r="L22" s="66">
        <v>3.4722222222222199E-3</v>
      </c>
    </row>
    <row r="23" spans="1:12" ht="51.75" customHeight="1" x14ac:dyDescent="0.2">
      <c r="A23" s="48">
        <v>11</v>
      </c>
      <c r="B23" s="130" t="s">
        <v>126</v>
      </c>
      <c r="C23" s="130"/>
      <c r="D23" s="130"/>
      <c r="E23" s="62">
        <f t="shared" si="1"/>
        <v>46298.048611111095</v>
      </c>
      <c r="F23" s="62">
        <f t="shared" si="0"/>
        <v>46298.059027777759</v>
      </c>
      <c r="G23" s="64" t="s">
        <v>112</v>
      </c>
      <c r="H23" s="57"/>
      <c r="I23" s="59"/>
      <c r="J23" s="59"/>
      <c r="K23" s="59"/>
      <c r="L23" s="63">
        <v>1.0416666666666666E-2</v>
      </c>
    </row>
    <row r="24" spans="1:12" ht="43.5" customHeight="1" x14ac:dyDescent="0.25">
      <c r="A24" s="48">
        <v>12</v>
      </c>
      <c r="B24" s="130" t="s">
        <v>125</v>
      </c>
      <c r="C24" s="130"/>
      <c r="D24" s="130"/>
      <c r="E24" s="62">
        <f t="shared" si="1"/>
        <v>46298.059027777759</v>
      </c>
      <c r="F24" s="32">
        <f t="shared" ref="F24" si="2">E24+L24</f>
        <v>46298.062499999978</v>
      </c>
      <c r="G24" s="50" t="s">
        <v>44</v>
      </c>
      <c r="H24" s="34"/>
      <c r="L24" s="66">
        <v>3.4722222222222199E-3</v>
      </c>
    </row>
    <row r="25" spans="1:12" ht="46.5" customHeight="1" x14ac:dyDescent="0.25">
      <c r="A25" s="48">
        <v>13</v>
      </c>
      <c r="B25" s="130" t="s">
        <v>77</v>
      </c>
      <c r="C25" s="130"/>
      <c r="D25" s="130"/>
      <c r="E25" s="62">
        <f t="shared" si="1"/>
        <v>46298.062499999978</v>
      </c>
      <c r="F25" s="32">
        <f t="shared" si="0"/>
        <v>46298.065972222197</v>
      </c>
      <c r="G25" s="50" t="s">
        <v>44</v>
      </c>
      <c r="H25" s="34"/>
      <c r="L25" s="66">
        <v>3.4722222222222199E-3</v>
      </c>
    </row>
    <row r="26" spans="1:12" ht="48.75" customHeight="1" x14ac:dyDescent="0.25">
      <c r="A26" s="48">
        <v>14</v>
      </c>
      <c r="B26" s="130" t="s">
        <v>78</v>
      </c>
      <c r="C26" s="130"/>
      <c r="D26" s="130"/>
      <c r="E26" s="62">
        <f t="shared" si="1"/>
        <v>46298.065972222197</v>
      </c>
      <c r="F26" s="32">
        <f t="shared" si="0"/>
        <v>46298.072916666642</v>
      </c>
      <c r="G26" s="50" t="s">
        <v>41</v>
      </c>
      <c r="H26" s="34"/>
      <c r="L26" s="66">
        <v>6.9444444444444441E-3</v>
      </c>
    </row>
    <row r="27" spans="1:12" ht="57" customHeight="1" x14ac:dyDescent="0.25">
      <c r="A27" s="48">
        <v>15</v>
      </c>
      <c r="B27" s="130" t="s">
        <v>50</v>
      </c>
      <c r="C27" s="130"/>
      <c r="D27" s="130"/>
      <c r="E27" s="62">
        <f t="shared" si="1"/>
        <v>46298.072916666642</v>
      </c>
      <c r="F27" s="32">
        <f t="shared" si="0"/>
        <v>46298.076388888861</v>
      </c>
      <c r="G27" s="50" t="s">
        <v>41</v>
      </c>
      <c r="H27" s="34"/>
      <c r="L27" s="66">
        <v>3.4722222222222199E-3</v>
      </c>
    </row>
    <row r="28" spans="1:12" ht="47.25" customHeight="1" x14ac:dyDescent="0.25">
      <c r="A28" s="48">
        <v>16</v>
      </c>
      <c r="B28" s="130" t="s">
        <v>51</v>
      </c>
      <c r="C28" s="130"/>
      <c r="D28" s="130"/>
      <c r="E28" s="62">
        <f t="shared" si="1"/>
        <v>46298.076388888861</v>
      </c>
      <c r="F28" s="32">
        <f t="shared" si="0"/>
        <v>46298.083333333307</v>
      </c>
      <c r="G28" s="50" t="s">
        <v>44</v>
      </c>
      <c r="H28" s="34"/>
      <c r="L28" s="66">
        <v>6.9444444444444397E-3</v>
      </c>
    </row>
    <row r="29" spans="1:12" x14ac:dyDescent="0.25">
      <c r="L29" s="66"/>
    </row>
  </sheetData>
  <mergeCells count="23">
    <mergeCell ref="A2:B4"/>
    <mergeCell ref="C2:H2"/>
    <mergeCell ref="C3:H3"/>
    <mergeCell ref="C4:H4"/>
    <mergeCell ref="A7:I7"/>
    <mergeCell ref="A8:H10"/>
    <mergeCell ref="A12:H12"/>
    <mergeCell ref="B13:D13"/>
    <mergeCell ref="B14:D14"/>
    <mergeCell ref="B15:D15"/>
    <mergeCell ref="B26:D26"/>
    <mergeCell ref="B27:D27"/>
    <mergeCell ref="B28:D28"/>
    <mergeCell ref="B16:D16"/>
    <mergeCell ref="B17:D17"/>
    <mergeCell ref="B21:D21"/>
    <mergeCell ref="B22:D22"/>
    <mergeCell ref="B25:D25"/>
    <mergeCell ref="B18:D18"/>
    <mergeCell ref="B19:D19"/>
    <mergeCell ref="B20:D20"/>
    <mergeCell ref="B23:D23"/>
    <mergeCell ref="B24:D24"/>
  </mergeCells>
  <pageMargins left="0.39374999999999999" right="0.39374999999999999" top="0.39374999999999999" bottom="0.39374999999999999" header="0.511811023622047" footer="0.511811023622047"/>
  <pageSetup orientation="landscape" horizontalDpi="300" verticalDpi="3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1014"/>
  <sheetViews>
    <sheetView showGridLines="0" zoomScale="90" zoomScaleNormal="90" workbookViewId="0">
      <selection activeCell="G17" sqref="G17"/>
    </sheetView>
  </sheetViews>
  <sheetFormatPr baseColWidth="10" defaultColWidth="11" defaultRowHeight="14.25" customHeight="1" x14ac:dyDescent="0.25"/>
  <cols>
    <col min="1" max="1" width="4" style="7" customWidth="1"/>
    <col min="2" max="2" width="12.7109375" style="7" customWidth="1"/>
    <col min="3" max="3" width="16" style="7" customWidth="1"/>
    <col min="4" max="4" width="10.7109375" style="7" customWidth="1"/>
    <col min="5" max="6" width="26.85546875" style="7" customWidth="1"/>
    <col min="7" max="7" width="34.5703125" style="7" customWidth="1"/>
    <col min="8" max="8" width="27.140625" style="35" customWidth="1"/>
    <col min="9" max="9" width="11.28515625" style="7" hidden="1" customWidth="1"/>
    <col min="10" max="12" width="11" style="7"/>
    <col min="13" max="13" width="11.5703125" style="7" hidden="1" customWidth="1"/>
    <col min="14" max="16384" width="11" style="7"/>
  </cols>
  <sheetData>
    <row r="2" spans="1:13" x14ac:dyDescent="0.25">
      <c r="A2" s="132"/>
      <c r="B2" s="132"/>
      <c r="C2" s="115"/>
      <c r="D2" s="115"/>
      <c r="E2" s="115"/>
      <c r="F2" s="115"/>
      <c r="G2" s="115"/>
      <c r="H2" s="115"/>
    </row>
    <row r="3" spans="1:13" ht="14.25" customHeight="1" x14ac:dyDescent="0.25">
      <c r="A3" s="132"/>
      <c r="B3" s="132"/>
      <c r="C3" s="131" t="s">
        <v>79</v>
      </c>
      <c r="D3" s="131"/>
      <c r="E3" s="131"/>
      <c r="F3" s="131"/>
      <c r="G3" s="131"/>
      <c r="H3" s="131"/>
    </row>
    <row r="4" spans="1:13" x14ac:dyDescent="0.25">
      <c r="A4" s="132"/>
      <c r="B4" s="132"/>
      <c r="C4" s="117"/>
      <c r="D4" s="117"/>
      <c r="E4" s="117"/>
      <c r="F4" s="117"/>
      <c r="G4" s="117"/>
      <c r="H4" s="117"/>
    </row>
    <row r="5" spans="1:13" x14ac:dyDescent="0.25">
      <c r="A5" s="28"/>
      <c r="B5" s="28"/>
      <c r="C5" s="28"/>
      <c r="D5" s="28"/>
      <c r="E5" s="28"/>
      <c r="F5" s="28"/>
      <c r="G5" s="28"/>
      <c r="H5" s="36"/>
    </row>
    <row r="7" spans="1:13" x14ac:dyDescent="0.25">
      <c r="A7" s="136" t="s">
        <v>71</v>
      </c>
      <c r="B7" s="136"/>
      <c r="C7" s="136"/>
      <c r="D7" s="136"/>
      <c r="E7" s="136"/>
      <c r="F7" s="136"/>
      <c r="G7" s="136"/>
      <c r="H7" s="136"/>
      <c r="I7" s="136"/>
    </row>
    <row r="8" spans="1:13" x14ac:dyDescent="0.25">
      <c r="A8" s="138"/>
      <c r="B8" s="138"/>
      <c r="C8" s="138"/>
      <c r="D8" s="138"/>
      <c r="E8" s="138"/>
      <c r="F8" s="138"/>
      <c r="G8" s="138"/>
      <c r="H8" s="138"/>
    </row>
    <row r="9" spans="1:13" x14ac:dyDescent="0.25">
      <c r="A9" s="138"/>
      <c r="B9" s="138"/>
      <c r="C9" s="138"/>
      <c r="D9" s="138"/>
      <c r="E9" s="138"/>
      <c r="F9" s="138"/>
      <c r="G9" s="138"/>
      <c r="H9" s="138"/>
    </row>
    <row r="10" spans="1:13" x14ac:dyDescent="0.25">
      <c r="A10" s="138"/>
      <c r="B10" s="138"/>
      <c r="C10" s="138"/>
      <c r="D10" s="138"/>
      <c r="E10" s="138"/>
      <c r="F10" s="138"/>
      <c r="G10" s="138"/>
      <c r="H10" s="138"/>
    </row>
    <row r="11" spans="1:13" x14ac:dyDescent="0.25">
      <c r="A11" s="139"/>
      <c r="B11" s="139"/>
      <c r="C11" s="139"/>
      <c r="D11" s="139"/>
      <c r="E11" s="139"/>
      <c r="F11" s="139"/>
      <c r="G11" s="139"/>
      <c r="H11" s="139"/>
    </row>
    <row r="12" spans="1:13" s="12" customFormat="1" ht="15" customHeight="1" x14ac:dyDescent="0.25">
      <c r="A12" s="131" t="s">
        <v>72</v>
      </c>
      <c r="B12" s="131"/>
      <c r="C12" s="131"/>
      <c r="D12" s="131"/>
      <c r="E12" s="131"/>
      <c r="F12" s="131"/>
      <c r="G12" s="131"/>
      <c r="H12" s="131"/>
      <c r="I12" s="7"/>
    </row>
    <row r="13" spans="1:13" ht="14.25" customHeight="1" x14ac:dyDescent="0.25">
      <c r="A13" s="26" t="s">
        <v>27</v>
      </c>
      <c r="B13" s="118" t="s">
        <v>28</v>
      </c>
      <c r="C13" s="118"/>
      <c r="D13" s="118"/>
      <c r="E13" s="30" t="s">
        <v>73</v>
      </c>
      <c r="F13" s="31" t="s">
        <v>30</v>
      </c>
      <c r="G13" s="37" t="s">
        <v>32</v>
      </c>
      <c r="H13" s="26" t="s">
        <v>33</v>
      </c>
      <c r="I13" s="11"/>
    </row>
    <row r="14" spans="1:13" ht="43.5" customHeight="1" x14ac:dyDescent="0.2">
      <c r="A14" s="5">
        <v>1</v>
      </c>
      <c r="B14" s="86" t="s">
        <v>110</v>
      </c>
      <c r="C14" s="86"/>
      <c r="D14" s="86"/>
      <c r="E14" s="18">
        <v>46297.833333333336</v>
      </c>
      <c r="F14" s="18">
        <f>E14+M14</f>
        <v>46297.840277777781</v>
      </c>
      <c r="G14" s="14" t="s">
        <v>39</v>
      </c>
      <c r="H14" s="2"/>
      <c r="I14" s="15"/>
      <c r="M14" s="33">
        <v>6.9444444444444397E-3</v>
      </c>
    </row>
    <row r="15" spans="1:13" ht="37.5" customHeight="1" x14ac:dyDescent="0.25">
      <c r="A15" s="15"/>
      <c r="B15" s="137"/>
      <c r="C15" s="137"/>
      <c r="D15" s="137"/>
      <c r="E15" s="15"/>
      <c r="F15" s="15"/>
      <c r="G15" s="15"/>
      <c r="H15" s="15"/>
      <c r="I15" s="15"/>
    </row>
    <row r="16" spans="1:13" ht="33" customHeight="1" x14ac:dyDescent="0.25">
      <c r="A16" s="15"/>
      <c r="B16" s="137"/>
      <c r="C16" s="137"/>
      <c r="D16" s="137"/>
      <c r="E16" s="15"/>
      <c r="F16" s="15"/>
      <c r="G16" s="15"/>
      <c r="H16" s="15"/>
    </row>
    <row r="17" spans="1:9" ht="35.25" customHeight="1" x14ac:dyDescent="0.25">
      <c r="A17" s="15"/>
      <c r="B17" s="137"/>
      <c r="C17" s="137"/>
      <c r="D17" s="137"/>
      <c r="E17" s="15"/>
      <c r="F17" s="15"/>
      <c r="G17" s="15"/>
      <c r="H17" s="15"/>
    </row>
    <row r="18" spans="1:9" ht="36" customHeight="1" x14ac:dyDescent="0.25">
      <c r="A18" s="15"/>
      <c r="B18" s="137"/>
      <c r="C18" s="137"/>
      <c r="D18" s="137"/>
      <c r="E18" s="15"/>
      <c r="F18" s="15"/>
      <c r="G18" s="15"/>
      <c r="H18" s="15"/>
      <c r="I18" s="15"/>
    </row>
    <row r="19" spans="1:9" ht="42" customHeight="1" x14ac:dyDescent="0.25">
      <c r="A19" s="15"/>
      <c r="B19" s="137"/>
      <c r="C19" s="137"/>
      <c r="D19" s="137"/>
      <c r="E19" s="15"/>
      <c r="F19" s="15"/>
      <c r="G19" s="15"/>
      <c r="H19" s="15"/>
      <c r="I19" s="15"/>
    </row>
    <row r="20" spans="1:9" x14ac:dyDescent="0.25">
      <c r="A20" s="15"/>
      <c r="B20" s="137"/>
      <c r="C20" s="137"/>
      <c r="D20" s="137"/>
      <c r="E20" s="15"/>
      <c r="F20" s="15"/>
      <c r="G20" s="15"/>
      <c r="H20" s="15"/>
    </row>
    <row r="21" spans="1:9" x14ac:dyDescent="0.25">
      <c r="A21" s="15"/>
      <c r="B21" s="137"/>
      <c r="C21" s="137"/>
      <c r="D21" s="137"/>
      <c r="E21" s="15"/>
      <c r="F21" s="15"/>
      <c r="G21" s="15"/>
      <c r="H21" s="15"/>
    </row>
    <row r="22" spans="1:9" x14ac:dyDescent="0.25">
      <c r="A22" s="15"/>
      <c r="B22" s="137"/>
      <c r="C22" s="137"/>
      <c r="D22" s="137"/>
      <c r="E22" s="15"/>
      <c r="F22" s="15"/>
      <c r="G22" s="15"/>
      <c r="H22" s="15"/>
    </row>
    <row r="23" spans="1:9" x14ac:dyDescent="0.25">
      <c r="A23" s="15"/>
      <c r="B23" s="137"/>
      <c r="C23" s="137"/>
      <c r="D23" s="137"/>
      <c r="E23" s="15"/>
      <c r="F23" s="15"/>
      <c r="G23" s="15"/>
      <c r="H23" s="15"/>
    </row>
    <row r="24" spans="1:9" x14ac:dyDescent="0.25">
      <c r="A24" s="15"/>
      <c r="B24" s="137"/>
      <c r="C24" s="137"/>
      <c r="D24" s="137"/>
      <c r="E24" s="15"/>
      <c r="F24" s="15"/>
      <c r="G24" s="15"/>
      <c r="H24" s="15"/>
    </row>
    <row r="25" spans="1:9" x14ac:dyDescent="0.25">
      <c r="A25" s="15"/>
      <c r="B25" s="137"/>
      <c r="C25" s="137"/>
      <c r="D25" s="137"/>
      <c r="E25" s="15"/>
      <c r="F25" s="15"/>
      <c r="G25" s="15"/>
      <c r="H25" s="15"/>
    </row>
    <row r="26" spans="1:9" x14ac:dyDescent="0.25">
      <c r="A26" s="15"/>
      <c r="B26" s="137"/>
      <c r="C26" s="137"/>
      <c r="D26" s="137"/>
      <c r="E26" s="15"/>
      <c r="F26" s="15"/>
      <c r="G26" s="15"/>
      <c r="H26" s="15"/>
    </row>
    <row r="27" spans="1:9" x14ac:dyDescent="0.25">
      <c r="A27" s="15"/>
      <c r="B27" s="137"/>
      <c r="C27" s="137"/>
      <c r="D27" s="137"/>
      <c r="E27" s="15"/>
      <c r="F27" s="15"/>
      <c r="G27" s="15"/>
      <c r="H27" s="15"/>
    </row>
    <row r="28" spans="1:9" x14ac:dyDescent="0.25">
      <c r="A28" s="15"/>
      <c r="B28" s="137"/>
      <c r="C28" s="137"/>
      <c r="D28" s="137"/>
      <c r="E28" s="15"/>
      <c r="F28" s="15"/>
      <c r="G28" s="15"/>
      <c r="H28" s="15"/>
    </row>
    <row r="29" spans="1:9" x14ac:dyDescent="0.25">
      <c r="A29" s="15"/>
      <c r="B29" s="137"/>
      <c r="C29" s="137"/>
      <c r="D29" s="137"/>
      <c r="E29" s="15"/>
      <c r="F29" s="15"/>
      <c r="G29" s="15"/>
      <c r="H29" s="15"/>
    </row>
    <row r="30" spans="1:9" x14ac:dyDescent="0.25">
      <c r="A30" s="15"/>
      <c r="B30" s="137"/>
      <c r="C30" s="137"/>
      <c r="D30" s="137"/>
      <c r="E30" s="15"/>
      <c r="F30" s="15"/>
      <c r="G30" s="15"/>
      <c r="H30" s="15"/>
    </row>
    <row r="31" spans="1:9" x14ac:dyDescent="0.25">
      <c r="A31" s="15"/>
      <c r="B31" s="137"/>
      <c r="C31" s="137"/>
      <c r="D31" s="137"/>
      <c r="E31" s="15"/>
      <c r="F31" s="15"/>
      <c r="G31" s="15"/>
      <c r="H31" s="15"/>
    </row>
    <row r="32" spans="1:9" x14ac:dyDescent="0.25">
      <c r="A32" s="15"/>
      <c r="B32" s="137"/>
      <c r="C32" s="137"/>
      <c r="D32" s="137"/>
      <c r="E32" s="15"/>
      <c r="F32" s="15"/>
      <c r="G32" s="15"/>
      <c r="H32" s="15"/>
    </row>
    <row r="33" spans="1:8" x14ac:dyDescent="0.25">
      <c r="A33" s="15"/>
      <c r="B33" s="137"/>
      <c r="C33" s="137"/>
      <c r="D33" s="137"/>
      <c r="E33" s="15"/>
      <c r="F33" s="15"/>
      <c r="G33" s="15"/>
      <c r="H33" s="15"/>
    </row>
    <row r="34" spans="1:8" x14ac:dyDescent="0.25">
      <c r="A34" s="15"/>
      <c r="B34" s="137"/>
      <c r="C34" s="137"/>
      <c r="D34" s="137"/>
      <c r="E34" s="15"/>
      <c r="F34" s="15"/>
      <c r="G34" s="15"/>
      <c r="H34" s="15"/>
    </row>
    <row r="35" spans="1:8" x14ac:dyDescent="0.25">
      <c r="A35" s="15"/>
      <c r="B35" s="137"/>
      <c r="C35" s="137"/>
      <c r="D35" s="137"/>
      <c r="E35" s="15"/>
      <c r="F35" s="15"/>
      <c r="G35" s="15"/>
      <c r="H35" s="15"/>
    </row>
    <row r="36" spans="1:8" x14ac:dyDescent="0.25">
      <c r="A36" s="15"/>
      <c r="B36" s="137"/>
      <c r="C36" s="137"/>
      <c r="D36" s="137"/>
      <c r="E36" s="15"/>
      <c r="F36" s="15"/>
      <c r="G36" s="15"/>
      <c r="H36" s="15"/>
    </row>
    <row r="37" spans="1:8" x14ac:dyDescent="0.25">
      <c r="A37" s="15"/>
      <c r="B37" s="137"/>
      <c r="C37" s="137"/>
      <c r="D37" s="137"/>
      <c r="E37" s="15"/>
      <c r="F37" s="15"/>
      <c r="G37" s="15"/>
      <c r="H37" s="15"/>
    </row>
    <row r="38" spans="1:8" x14ac:dyDescent="0.25">
      <c r="A38" s="15"/>
      <c r="B38" s="137"/>
      <c r="C38" s="137"/>
      <c r="D38" s="137"/>
      <c r="E38" s="15"/>
      <c r="F38" s="15"/>
      <c r="G38" s="15"/>
      <c r="H38" s="15"/>
    </row>
    <row r="39" spans="1:8" x14ac:dyDescent="0.25">
      <c r="H39" s="7"/>
    </row>
    <row r="40" spans="1:8" x14ac:dyDescent="0.25">
      <c r="H40" s="7"/>
    </row>
    <row r="41" spans="1:8" x14ac:dyDescent="0.25">
      <c r="H41" s="7"/>
    </row>
    <row r="42" spans="1:8" x14ac:dyDescent="0.25">
      <c r="H42" s="7"/>
    </row>
    <row r="43" spans="1:8" x14ac:dyDescent="0.25">
      <c r="H43" s="7"/>
    </row>
    <row r="44" spans="1:8" x14ac:dyDescent="0.25">
      <c r="H44" s="7"/>
    </row>
    <row r="45" spans="1:8" x14ac:dyDescent="0.25">
      <c r="H45" s="7"/>
    </row>
    <row r="46" spans="1:8" x14ac:dyDescent="0.25">
      <c r="H46" s="7"/>
    </row>
    <row r="47" spans="1:8" x14ac:dyDescent="0.25">
      <c r="H47" s="7"/>
    </row>
    <row r="48" spans="1:8" x14ac:dyDescent="0.25">
      <c r="H48" s="7"/>
    </row>
    <row r="49" s="7" customFormat="1" x14ac:dyDescent="0.25"/>
    <row r="50" s="7" customFormat="1" x14ac:dyDescent="0.25"/>
    <row r="51" s="7" customFormat="1" x14ac:dyDescent="0.25"/>
    <row r="52" s="7" customFormat="1" x14ac:dyDescent="0.25"/>
    <row r="53" s="7" customFormat="1" x14ac:dyDescent="0.25"/>
    <row r="54" s="7" customFormat="1" x14ac:dyDescent="0.25"/>
    <row r="55" s="7" customFormat="1" x14ac:dyDescent="0.25"/>
    <row r="56" s="7" customFormat="1" x14ac:dyDescent="0.25"/>
    <row r="57" s="7" customFormat="1" x14ac:dyDescent="0.25"/>
    <row r="58" s="7" customFormat="1" x14ac:dyDescent="0.25"/>
    <row r="59" s="7" customFormat="1" x14ac:dyDescent="0.25"/>
    <row r="60" s="7" customFormat="1" x14ac:dyDescent="0.25"/>
    <row r="61" s="7" customFormat="1" x14ac:dyDescent="0.25"/>
    <row r="62" s="7" customFormat="1" x14ac:dyDescent="0.25"/>
    <row r="63" s="7" customFormat="1" x14ac:dyDescent="0.25"/>
    <row r="64" s="7" customFormat="1" x14ac:dyDescent="0.25"/>
    <row r="65" s="7" customFormat="1" x14ac:dyDescent="0.25"/>
    <row r="66" s="7" customFormat="1" x14ac:dyDescent="0.25"/>
    <row r="67" s="7" customFormat="1" x14ac:dyDescent="0.25"/>
    <row r="68" s="7" customFormat="1" x14ac:dyDescent="0.25"/>
    <row r="69" s="7" customFormat="1" x14ac:dyDescent="0.25"/>
    <row r="70" s="7" customFormat="1" x14ac:dyDescent="0.25"/>
    <row r="71" s="7" customFormat="1" x14ac:dyDescent="0.25"/>
    <row r="72" s="7" customFormat="1" x14ac:dyDescent="0.25"/>
    <row r="73" s="7" customFormat="1" x14ac:dyDescent="0.25"/>
    <row r="74" s="7" customFormat="1" x14ac:dyDescent="0.25"/>
    <row r="75" s="7" customFormat="1" x14ac:dyDescent="0.25"/>
    <row r="76" s="7" customFormat="1" x14ac:dyDescent="0.25"/>
    <row r="77" s="7" customFormat="1" x14ac:dyDescent="0.25"/>
    <row r="78" s="7" customFormat="1" x14ac:dyDescent="0.25"/>
    <row r="79" s="7" customFormat="1" x14ac:dyDescent="0.25"/>
    <row r="80" s="7" customFormat="1" x14ac:dyDescent="0.25"/>
    <row r="81" s="7" customFormat="1" x14ac:dyDescent="0.25"/>
    <row r="82" s="7" customFormat="1" x14ac:dyDescent="0.25"/>
    <row r="83" s="7" customFormat="1" x14ac:dyDescent="0.25"/>
    <row r="84" s="7" customFormat="1" x14ac:dyDescent="0.25"/>
    <row r="85" s="7" customFormat="1" x14ac:dyDescent="0.25"/>
    <row r="86" s="7" customFormat="1" x14ac:dyDescent="0.25"/>
    <row r="87" s="7" customFormat="1" x14ac:dyDescent="0.25"/>
    <row r="88" s="7" customFormat="1" x14ac:dyDescent="0.25"/>
    <row r="89" s="7" customFormat="1" x14ac:dyDescent="0.25"/>
    <row r="90" s="7" customFormat="1" x14ac:dyDescent="0.25"/>
    <row r="91" s="7" customFormat="1" x14ac:dyDescent="0.25"/>
    <row r="92" s="7" customFormat="1" x14ac:dyDescent="0.25"/>
    <row r="93" s="7" customFormat="1" x14ac:dyDescent="0.25"/>
    <row r="94" s="7" customFormat="1" x14ac:dyDescent="0.25"/>
    <row r="95" s="7" customFormat="1" x14ac:dyDescent="0.25"/>
    <row r="96" s="7" customFormat="1" x14ac:dyDescent="0.25"/>
    <row r="97" s="7" customFormat="1" x14ac:dyDescent="0.25"/>
    <row r="98" s="7" customFormat="1" x14ac:dyDescent="0.25"/>
    <row r="99" s="7" customFormat="1" x14ac:dyDescent="0.25"/>
    <row r="100" s="7" customFormat="1" x14ac:dyDescent="0.25"/>
    <row r="101" s="7" customFormat="1" x14ac:dyDescent="0.25"/>
    <row r="102" s="7" customFormat="1" x14ac:dyDescent="0.25"/>
    <row r="103" s="7" customFormat="1" x14ac:dyDescent="0.25"/>
    <row r="104" s="7" customFormat="1" x14ac:dyDescent="0.25"/>
    <row r="105" s="7" customFormat="1" x14ac:dyDescent="0.25"/>
    <row r="106" s="7" customFormat="1" x14ac:dyDescent="0.25"/>
    <row r="107" s="7" customFormat="1" x14ac:dyDescent="0.25"/>
    <row r="108" s="7" customFormat="1" x14ac:dyDescent="0.25"/>
    <row r="109" s="7" customFormat="1" x14ac:dyDescent="0.25"/>
    <row r="110" s="7" customFormat="1" x14ac:dyDescent="0.25"/>
    <row r="111" s="7" customFormat="1" x14ac:dyDescent="0.25"/>
    <row r="112" s="7" customFormat="1" x14ac:dyDescent="0.25"/>
    <row r="113" s="7" customFormat="1" x14ac:dyDescent="0.25"/>
    <row r="114" s="7" customFormat="1" x14ac:dyDescent="0.25"/>
    <row r="115" s="7" customFormat="1" x14ac:dyDescent="0.25"/>
    <row r="116" s="7" customFormat="1" x14ac:dyDescent="0.25"/>
    <row r="117" s="7" customFormat="1" x14ac:dyDescent="0.25"/>
    <row r="118" s="7" customFormat="1" x14ac:dyDescent="0.25"/>
    <row r="119" s="7" customFormat="1" x14ac:dyDescent="0.25"/>
    <row r="120" s="7" customFormat="1" x14ac:dyDescent="0.25"/>
    <row r="121" s="7" customFormat="1" x14ac:dyDescent="0.25"/>
    <row r="122" s="7" customFormat="1" x14ac:dyDescent="0.25"/>
    <row r="123" s="7" customFormat="1" x14ac:dyDescent="0.25"/>
    <row r="124" s="7" customFormat="1" x14ac:dyDescent="0.25"/>
    <row r="125" s="7" customFormat="1" x14ac:dyDescent="0.25"/>
    <row r="126" s="7" customFormat="1" x14ac:dyDescent="0.25"/>
    <row r="127" s="7" customFormat="1" x14ac:dyDescent="0.25"/>
    <row r="128" s="7" customFormat="1" x14ac:dyDescent="0.25"/>
    <row r="129" s="7" customFormat="1" x14ac:dyDescent="0.25"/>
    <row r="130" s="7" customFormat="1" x14ac:dyDescent="0.25"/>
    <row r="131" s="7" customFormat="1" x14ac:dyDescent="0.25"/>
    <row r="132" s="7" customFormat="1" x14ac:dyDescent="0.25"/>
    <row r="133" s="7" customFormat="1" x14ac:dyDescent="0.25"/>
    <row r="134" s="7" customFormat="1" x14ac:dyDescent="0.25"/>
    <row r="135" s="7" customFormat="1" x14ac:dyDescent="0.25"/>
    <row r="136" s="7" customFormat="1" x14ac:dyDescent="0.25"/>
    <row r="137" s="7" customFormat="1" x14ac:dyDescent="0.25"/>
    <row r="138" s="7" customFormat="1" x14ac:dyDescent="0.25"/>
    <row r="139" s="7" customFormat="1" x14ac:dyDescent="0.25"/>
    <row r="140" s="7" customFormat="1" x14ac:dyDescent="0.25"/>
    <row r="141" s="7" customFormat="1" x14ac:dyDescent="0.25"/>
    <row r="142" s="7" customFormat="1" x14ac:dyDescent="0.25"/>
    <row r="143" s="7" customFormat="1" x14ac:dyDescent="0.25"/>
    <row r="144" s="7" customFormat="1" x14ac:dyDescent="0.25"/>
    <row r="145" s="7" customFormat="1" x14ac:dyDescent="0.25"/>
    <row r="146" s="7" customFormat="1" x14ac:dyDescent="0.25"/>
    <row r="147" s="7" customFormat="1" x14ac:dyDescent="0.25"/>
    <row r="148" s="7" customFormat="1" x14ac:dyDescent="0.25"/>
    <row r="149" s="7" customFormat="1" x14ac:dyDescent="0.25"/>
    <row r="150" s="7" customFormat="1" x14ac:dyDescent="0.25"/>
    <row r="151" s="7" customFormat="1" x14ac:dyDescent="0.25"/>
    <row r="152" s="7" customFormat="1" x14ac:dyDescent="0.25"/>
    <row r="153" s="7" customFormat="1" x14ac:dyDescent="0.25"/>
    <row r="154" s="7" customFormat="1" x14ac:dyDescent="0.25"/>
    <row r="155" s="7" customFormat="1" x14ac:dyDescent="0.25"/>
    <row r="156" s="7" customFormat="1" x14ac:dyDescent="0.25"/>
    <row r="157" s="7" customFormat="1" x14ac:dyDescent="0.25"/>
    <row r="158" s="7" customFormat="1" x14ac:dyDescent="0.25"/>
    <row r="159" s="7" customFormat="1" x14ac:dyDescent="0.25"/>
    <row r="160" s="7" customFormat="1" x14ac:dyDescent="0.25"/>
    <row r="161" s="7" customFormat="1" x14ac:dyDescent="0.25"/>
    <row r="162" s="7" customFormat="1" x14ac:dyDescent="0.25"/>
    <row r="163" s="7" customFormat="1" x14ac:dyDescent="0.25"/>
    <row r="164" s="7" customFormat="1" x14ac:dyDescent="0.25"/>
    <row r="165" s="7" customFormat="1" x14ac:dyDescent="0.25"/>
    <row r="166" s="7" customFormat="1" x14ac:dyDescent="0.25"/>
    <row r="167" s="7" customFormat="1" x14ac:dyDescent="0.25"/>
    <row r="168" s="7" customFormat="1" x14ac:dyDescent="0.25"/>
    <row r="169" s="7" customFormat="1" x14ac:dyDescent="0.25"/>
    <row r="170" s="7" customFormat="1" x14ac:dyDescent="0.25"/>
    <row r="171" s="7" customFormat="1" x14ac:dyDescent="0.25"/>
    <row r="172" s="7" customFormat="1" x14ac:dyDescent="0.25"/>
    <row r="173" s="7" customFormat="1" x14ac:dyDescent="0.25"/>
    <row r="174" s="7" customFormat="1" x14ac:dyDescent="0.25"/>
    <row r="175" s="7" customFormat="1" x14ac:dyDescent="0.25"/>
    <row r="176" s="7" customFormat="1" x14ac:dyDescent="0.25"/>
    <row r="177" s="7" customFormat="1" x14ac:dyDescent="0.25"/>
    <row r="178" s="7" customFormat="1" x14ac:dyDescent="0.25"/>
    <row r="179" s="7" customFormat="1" x14ac:dyDescent="0.25"/>
    <row r="180" s="7" customFormat="1" x14ac:dyDescent="0.25"/>
    <row r="181" s="7" customFormat="1" x14ac:dyDescent="0.25"/>
    <row r="182" s="7" customFormat="1" x14ac:dyDescent="0.25"/>
    <row r="183" s="7" customFormat="1" x14ac:dyDescent="0.25"/>
    <row r="184" s="7" customFormat="1" x14ac:dyDescent="0.25"/>
    <row r="185" s="7" customFormat="1" x14ac:dyDescent="0.25"/>
    <row r="186" s="7" customFormat="1" x14ac:dyDescent="0.25"/>
    <row r="187" s="7" customFormat="1" x14ac:dyDescent="0.25"/>
    <row r="188" s="7" customFormat="1" x14ac:dyDescent="0.25"/>
    <row r="189" s="7" customFormat="1" x14ac:dyDescent="0.25"/>
    <row r="190" s="7" customFormat="1" x14ac:dyDescent="0.25"/>
    <row r="191" s="7" customFormat="1" x14ac:dyDescent="0.25"/>
    <row r="192" s="7" customFormat="1" x14ac:dyDescent="0.25"/>
    <row r="193" s="7" customFormat="1" x14ac:dyDescent="0.25"/>
    <row r="194" s="7" customFormat="1" x14ac:dyDescent="0.25"/>
    <row r="195" s="7" customFormat="1" x14ac:dyDescent="0.25"/>
    <row r="196" s="7" customFormat="1" x14ac:dyDescent="0.25"/>
    <row r="197" s="7" customFormat="1" x14ac:dyDescent="0.25"/>
    <row r="198" s="7" customFormat="1" x14ac:dyDescent="0.25"/>
    <row r="199" s="7" customFormat="1" x14ac:dyDescent="0.25"/>
    <row r="200" s="7" customFormat="1" x14ac:dyDescent="0.25"/>
    <row r="201" s="7" customFormat="1" x14ac:dyDescent="0.25"/>
    <row r="202" s="7" customFormat="1" x14ac:dyDescent="0.25"/>
    <row r="203" s="7" customFormat="1" x14ac:dyDescent="0.25"/>
    <row r="204" s="7" customFormat="1" x14ac:dyDescent="0.25"/>
    <row r="205" s="7" customFormat="1" x14ac:dyDescent="0.25"/>
    <row r="206" s="7" customFormat="1" x14ac:dyDescent="0.25"/>
    <row r="207" s="7" customFormat="1" x14ac:dyDescent="0.25"/>
    <row r="208" s="7" customFormat="1" x14ac:dyDescent="0.25"/>
    <row r="209" s="7" customFormat="1" x14ac:dyDescent="0.25"/>
    <row r="210" s="7" customFormat="1" x14ac:dyDescent="0.25"/>
    <row r="211" s="7" customFormat="1" x14ac:dyDescent="0.25"/>
    <row r="212" s="7" customFormat="1" x14ac:dyDescent="0.25"/>
    <row r="213" s="7" customFormat="1" x14ac:dyDescent="0.25"/>
    <row r="214" s="7" customFormat="1" x14ac:dyDescent="0.25"/>
    <row r="215" s="7" customFormat="1" x14ac:dyDescent="0.25"/>
    <row r="216" s="7" customFormat="1" x14ac:dyDescent="0.25"/>
    <row r="217" s="7" customFormat="1" x14ac:dyDescent="0.25"/>
    <row r="218" s="7" customFormat="1" x14ac:dyDescent="0.25"/>
    <row r="219" s="7" customFormat="1" x14ac:dyDescent="0.25"/>
    <row r="220" s="7" customFormat="1" x14ac:dyDescent="0.25"/>
    <row r="221" s="7" customFormat="1" x14ac:dyDescent="0.25"/>
    <row r="222" s="7" customFormat="1" x14ac:dyDescent="0.25"/>
    <row r="223" s="7" customFormat="1" x14ac:dyDescent="0.25"/>
    <row r="224" s="7" customFormat="1" x14ac:dyDescent="0.25"/>
    <row r="225" s="7" customFormat="1" x14ac:dyDescent="0.25"/>
    <row r="226" s="7" customFormat="1" x14ac:dyDescent="0.25"/>
    <row r="227" s="7" customFormat="1" x14ac:dyDescent="0.25"/>
    <row r="228" s="7" customFormat="1" x14ac:dyDescent="0.25"/>
    <row r="229" s="7" customFormat="1" x14ac:dyDescent="0.25"/>
    <row r="230" s="7" customFormat="1" x14ac:dyDescent="0.25"/>
    <row r="231" s="7" customFormat="1" x14ac:dyDescent="0.25"/>
    <row r="232" s="7" customFormat="1" x14ac:dyDescent="0.25"/>
    <row r="233" s="7" customFormat="1" x14ac:dyDescent="0.25"/>
    <row r="234" s="7" customFormat="1" x14ac:dyDescent="0.25"/>
    <row r="235" s="7" customFormat="1" x14ac:dyDescent="0.25"/>
    <row r="236" s="7" customFormat="1" x14ac:dyDescent="0.25"/>
    <row r="237" s="7" customFormat="1" x14ac:dyDescent="0.25"/>
    <row r="238" s="7" customFormat="1" x14ac:dyDescent="0.25"/>
    <row r="239" s="7" customFormat="1" x14ac:dyDescent="0.25"/>
    <row r="240" s="7" customFormat="1" x14ac:dyDescent="0.25"/>
    <row r="241" s="7" customFormat="1" x14ac:dyDescent="0.25"/>
    <row r="242" s="7" customFormat="1" x14ac:dyDescent="0.25"/>
    <row r="243" s="7" customFormat="1" x14ac:dyDescent="0.25"/>
    <row r="244" s="7" customFormat="1" x14ac:dyDescent="0.25"/>
    <row r="245" s="7" customFormat="1" x14ac:dyDescent="0.25"/>
    <row r="246" s="7" customFormat="1" x14ac:dyDescent="0.25"/>
    <row r="247" s="7" customFormat="1" x14ac:dyDescent="0.25"/>
    <row r="248" s="7" customFormat="1" x14ac:dyDescent="0.25"/>
    <row r="249" s="7" customFormat="1" x14ac:dyDescent="0.25"/>
    <row r="250" s="7" customFormat="1" x14ac:dyDescent="0.25"/>
    <row r="251" s="7" customFormat="1" x14ac:dyDescent="0.25"/>
    <row r="252" s="7" customFormat="1" x14ac:dyDescent="0.25"/>
    <row r="253" s="7" customFormat="1" x14ac:dyDescent="0.25"/>
    <row r="254" s="7" customFormat="1" x14ac:dyDescent="0.25"/>
    <row r="255" s="7" customFormat="1" x14ac:dyDescent="0.25"/>
    <row r="256" s="7" customFormat="1" x14ac:dyDescent="0.25"/>
    <row r="257" s="7" customFormat="1" x14ac:dyDescent="0.25"/>
    <row r="258" s="7" customFormat="1" x14ac:dyDescent="0.25"/>
    <row r="259" s="7" customFormat="1" x14ac:dyDescent="0.25"/>
    <row r="260" s="7" customFormat="1" x14ac:dyDescent="0.25"/>
    <row r="261" s="7" customFormat="1" x14ac:dyDescent="0.25"/>
    <row r="262" s="7" customFormat="1" x14ac:dyDescent="0.25"/>
    <row r="263" s="7" customFormat="1" x14ac:dyDescent="0.25"/>
    <row r="264" s="7" customFormat="1" x14ac:dyDescent="0.25"/>
    <row r="265" s="7" customFormat="1" x14ac:dyDescent="0.25"/>
    <row r="266" s="7" customFormat="1" x14ac:dyDescent="0.25"/>
    <row r="267" s="7" customFormat="1" x14ac:dyDescent="0.25"/>
    <row r="268" s="7" customFormat="1" x14ac:dyDescent="0.25"/>
    <row r="269" s="7" customFormat="1" x14ac:dyDescent="0.25"/>
    <row r="270" s="7" customFormat="1" x14ac:dyDescent="0.25"/>
    <row r="271" s="7" customFormat="1" x14ac:dyDescent="0.25"/>
    <row r="272" s="7" customFormat="1" x14ac:dyDescent="0.25"/>
    <row r="273" s="7" customFormat="1" x14ac:dyDescent="0.25"/>
    <row r="274" s="7" customFormat="1" x14ac:dyDescent="0.25"/>
    <row r="275" s="7" customFormat="1" x14ac:dyDescent="0.25"/>
    <row r="276" s="7" customFormat="1" x14ac:dyDescent="0.25"/>
    <row r="277" s="7" customFormat="1" x14ac:dyDescent="0.25"/>
    <row r="278" s="7" customFormat="1" x14ac:dyDescent="0.25"/>
    <row r="279" s="7" customFormat="1" x14ac:dyDescent="0.25"/>
    <row r="280" s="7" customFormat="1" x14ac:dyDescent="0.25"/>
    <row r="281" s="7" customFormat="1" x14ac:dyDescent="0.25"/>
    <row r="282" s="7" customFormat="1" x14ac:dyDescent="0.25"/>
    <row r="283" s="7" customFormat="1" x14ac:dyDescent="0.25"/>
    <row r="284" s="7" customFormat="1" x14ac:dyDescent="0.25"/>
    <row r="285" s="7" customFormat="1" x14ac:dyDescent="0.25"/>
    <row r="286" s="7" customFormat="1" x14ac:dyDescent="0.25"/>
    <row r="287" s="7" customFormat="1" x14ac:dyDescent="0.25"/>
    <row r="288" s="7" customFormat="1" x14ac:dyDescent="0.25"/>
    <row r="289" s="7" customFormat="1" x14ac:dyDescent="0.25"/>
    <row r="290" s="7" customFormat="1" x14ac:dyDescent="0.25"/>
    <row r="291" s="7" customFormat="1" x14ac:dyDescent="0.25"/>
    <row r="292" s="7" customFormat="1" x14ac:dyDescent="0.25"/>
    <row r="293" s="7" customFormat="1" x14ac:dyDescent="0.25"/>
    <row r="294" s="7" customFormat="1" x14ac:dyDescent="0.25"/>
    <row r="295" s="7" customFormat="1" x14ac:dyDescent="0.25"/>
    <row r="296" s="7" customFormat="1" x14ac:dyDescent="0.25"/>
    <row r="297" s="7" customFormat="1" x14ac:dyDescent="0.25"/>
    <row r="298" s="7" customFormat="1" x14ac:dyDescent="0.25"/>
    <row r="299" s="7" customFormat="1" x14ac:dyDescent="0.25"/>
    <row r="300" s="7" customFormat="1" x14ac:dyDescent="0.25"/>
    <row r="301" s="7" customFormat="1" x14ac:dyDescent="0.25"/>
    <row r="302" s="7" customFormat="1" x14ac:dyDescent="0.25"/>
    <row r="303" s="7" customFormat="1" x14ac:dyDescent="0.25"/>
    <row r="304" s="7" customFormat="1" x14ac:dyDescent="0.25"/>
    <row r="305" s="7" customFormat="1" x14ac:dyDescent="0.25"/>
    <row r="306" s="7" customFormat="1" x14ac:dyDescent="0.25"/>
    <row r="307" s="7" customFormat="1" x14ac:dyDescent="0.25"/>
    <row r="308" s="7" customFormat="1" x14ac:dyDescent="0.25"/>
    <row r="309" s="7" customFormat="1" x14ac:dyDescent="0.25"/>
    <row r="310" s="7" customFormat="1" x14ac:dyDescent="0.25"/>
    <row r="311" s="7" customFormat="1" x14ac:dyDescent="0.25"/>
    <row r="312" s="7" customFormat="1" x14ac:dyDescent="0.25"/>
    <row r="313" s="7" customFormat="1" x14ac:dyDescent="0.25"/>
    <row r="314" s="7" customFormat="1" x14ac:dyDescent="0.25"/>
    <row r="315" s="7" customFormat="1" x14ac:dyDescent="0.25"/>
    <row r="316" s="7" customFormat="1" x14ac:dyDescent="0.25"/>
    <row r="317" s="7" customFormat="1" x14ac:dyDescent="0.25"/>
    <row r="318" s="7" customFormat="1" x14ac:dyDescent="0.25"/>
    <row r="319" s="7" customFormat="1" x14ac:dyDescent="0.25"/>
    <row r="320" s="7" customFormat="1" x14ac:dyDescent="0.25"/>
    <row r="321" s="7" customFormat="1" x14ac:dyDescent="0.25"/>
    <row r="322" s="7" customFormat="1" x14ac:dyDescent="0.25"/>
    <row r="323" s="7" customFormat="1" x14ac:dyDescent="0.25"/>
    <row r="324" s="7" customFormat="1" x14ac:dyDescent="0.25"/>
    <row r="325" s="7" customFormat="1" x14ac:dyDescent="0.25"/>
    <row r="326" s="7" customFormat="1" x14ac:dyDescent="0.25"/>
    <row r="327" s="7" customFormat="1" x14ac:dyDescent="0.25"/>
    <row r="328" s="7" customFormat="1" x14ac:dyDescent="0.25"/>
    <row r="329" s="7" customFormat="1" x14ac:dyDescent="0.25"/>
    <row r="330" s="7" customFormat="1" x14ac:dyDescent="0.25"/>
    <row r="331" s="7" customFormat="1" x14ac:dyDescent="0.25"/>
    <row r="332" s="7" customFormat="1" x14ac:dyDescent="0.25"/>
    <row r="333" s="7" customFormat="1" x14ac:dyDescent="0.25"/>
    <row r="334" s="7" customFormat="1" x14ac:dyDescent="0.25"/>
    <row r="335" s="7" customFormat="1" x14ac:dyDescent="0.25"/>
    <row r="336" s="7" customFormat="1" x14ac:dyDescent="0.25"/>
    <row r="337" s="7" customFormat="1" x14ac:dyDescent="0.25"/>
    <row r="338" s="7" customFormat="1" x14ac:dyDescent="0.25"/>
    <row r="339" s="7" customFormat="1" x14ac:dyDescent="0.25"/>
    <row r="340" s="7" customFormat="1" x14ac:dyDescent="0.25"/>
    <row r="341" s="7" customFormat="1" x14ac:dyDescent="0.25"/>
    <row r="342" s="7" customFormat="1" x14ac:dyDescent="0.25"/>
    <row r="343" s="7" customFormat="1" x14ac:dyDescent="0.25"/>
    <row r="344" s="7" customFormat="1" x14ac:dyDescent="0.25"/>
    <row r="345" s="7" customFormat="1" x14ac:dyDescent="0.25"/>
    <row r="346" s="7" customFormat="1" x14ac:dyDescent="0.25"/>
    <row r="347" s="7" customFormat="1" x14ac:dyDescent="0.25"/>
    <row r="348" s="7" customFormat="1" x14ac:dyDescent="0.25"/>
    <row r="349" s="7" customFormat="1" x14ac:dyDescent="0.25"/>
    <row r="350" s="7" customFormat="1" x14ac:dyDescent="0.25"/>
    <row r="351" s="7" customFormat="1" x14ac:dyDescent="0.25"/>
    <row r="352" s="7" customFormat="1" x14ac:dyDescent="0.25"/>
    <row r="353" s="7" customFormat="1" x14ac:dyDescent="0.25"/>
    <row r="354" s="7" customFormat="1" x14ac:dyDescent="0.25"/>
    <row r="355" s="7" customFormat="1" x14ac:dyDescent="0.25"/>
    <row r="356" s="7" customFormat="1" x14ac:dyDescent="0.25"/>
    <row r="357" s="7" customFormat="1" x14ac:dyDescent="0.25"/>
    <row r="358" s="7" customFormat="1" x14ac:dyDescent="0.25"/>
    <row r="359" s="7" customFormat="1" x14ac:dyDescent="0.25"/>
    <row r="360" s="7" customFormat="1" x14ac:dyDescent="0.25"/>
    <row r="361" s="7" customFormat="1" x14ac:dyDescent="0.25"/>
    <row r="362" s="7" customFormat="1" x14ac:dyDescent="0.25"/>
    <row r="363" s="7" customFormat="1" x14ac:dyDescent="0.25"/>
    <row r="364" s="7" customFormat="1" x14ac:dyDescent="0.25"/>
    <row r="365" s="7" customFormat="1" x14ac:dyDescent="0.25"/>
    <row r="366" s="7" customFormat="1" x14ac:dyDescent="0.25"/>
    <row r="367" s="7" customFormat="1" x14ac:dyDescent="0.25"/>
    <row r="368" s="7" customFormat="1" x14ac:dyDescent="0.25"/>
    <row r="369" s="7" customFormat="1" x14ac:dyDescent="0.25"/>
    <row r="370" s="7" customFormat="1" x14ac:dyDescent="0.25"/>
    <row r="371" s="7" customFormat="1" x14ac:dyDescent="0.25"/>
    <row r="372" s="7" customFormat="1" x14ac:dyDescent="0.25"/>
    <row r="373" s="7" customFormat="1" x14ac:dyDescent="0.25"/>
    <row r="374" s="7" customFormat="1" x14ac:dyDescent="0.25"/>
    <row r="375" s="7" customFormat="1" x14ac:dyDescent="0.25"/>
    <row r="376" s="7" customFormat="1" x14ac:dyDescent="0.25"/>
    <row r="377" s="7" customFormat="1" x14ac:dyDescent="0.25"/>
    <row r="378" s="7" customFormat="1" x14ac:dyDescent="0.25"/>
    <row r="379" s="7" customFormat="1" x14ac:dyDescent="0.25"/>
    <row r="380" s="7" customFormat="1" x14ac:dyDescent="0.25"/>
    <row r="381" s="7" customFormat="1" x14ac:dyDescent="0.25"/>
    <row r="382" s="7" customFormat="1" x14ac:dyDescent="0.25"/>
    <row r="383" s="7" customFormat="1" x14ac:dyDescent="0.25"/>
    <row r="384" s="7" customFormat="1" x14ac:dyDescent="0.25"/>
    <row r="385" s="7" customFormat="1" x14ac:dyDescent="0.25"/>
    <row r="386" s="7" customFormat="1" x14ac:dyDescent="0.25"/>
    <row r="387" s="7" customFormat="1" x14ac:dyDescent="0.25"/>
    <row r="388" s="7" customFormat="1" x14ac:dyDescent="0.25"/>
    <row r="389" s="7" customFormat="1" x14ac:dyDescent="0.25"/>
    <row r="390" s="7" customFormat="1" x14ac:dyDescent="0.25"/>
    <row r="391" s="7" customFormat="1" x14ac:dyDescent="0.25"/>
    <row r="392" s="7" customFormat="1" x14ac:dyDescent="0.25"/>
    <row r="393" s="7" customFormat="1" x14ac:dyDescent="0.25"/>
    <row r="394" s="7" customFormat="1" x14ac:dyDescent="0.25"/>
    <row r="395" s="7" customFormat="1" x14ac:dyDescent="0.25"/>
    <row r="396" s="7" customFormat="1" x14ac:dyDescent="0.25"/>
    <row r="397" s="7" customFormat="1" x14ac:dyDescent="0.25"/>
    <row r="398" s="7" customFormat="1" x14ac:dyDescent="0.25"/>
    <row r="399" s="7" customFormat="1" x14ac:dyDescent="0.25"/>
    <row r="400" s="7" customFormat="1" x14ac:dyDescent="0.25"/>
    <row r="401" s="7" customFormat="1" x14ac:dyDescent="0.25"/>
    <row r="402" s="7" customFormat="1" x14ac:dyDescent="0.25"/>
    <row r="403" s="7" customFormat="1" x14ac:dyDescent="0.25"/>
    <row r="404" s="7" customFormat="1" x14ac:dyDescent="0.25"/>
    <row r="405" s="7" customFormat="1" x14ac:dyDescent="0.25"/>
    <row r="406" s="7" customFormat="1" x14ac:dyDescent="0.25"/>
    <row r="407" s="7" customFormat="1" x14ac:dyDescent="0.25"/>
    <row r="408" s="7" customFormat="1" x14ac:dyDescent="0.25"/>
    <row r="409" s="7" customFormat="1" x14ac:dyDescent="0.25"/>
    <row r="410" s="7" customFormat="1" x14ac:dyDescent="0.25"/>
    <row r="411" s="7" customFormat="1" x14ac:dyDescent="0.25"/>
    <row r="412" s="7" customFormat="1" x14ac:dyDescent="0.25"/>
    <row r="413" s="7" customFormat="1" x14ac:dyDescent="0.25"/>
    <row r="414" s="7" customFormat="1" x14ac:dyDescent="0.25"/>
    <row r="415" s="7" customFormat="1" x14ac:dyDescent="0.25"/>
    <row r="416" s="7" customFormat="1" x14ac:dyDescent="0.25"/>
    <row r="417" s="7" customFormat="1" x14ac:dyDescent="0.25"/>
    <row r="418" s="7" customFormat="1" x14ac:dyDescent="0.25"/>
    <row r="419" s="7" customFormat="1" x14ac:dyDescent="0.25"/>
    <row r="420" s="7" customFormat="1" x14ac:dyDescent="0.25"/>
    <row r="421" s="7" customFormat="1" x14ac:dyDescent="0.25"/>
    <row r="422" s="7" customFormat="1" x14ac:dyDescent="0.25"/>
    <row r="423" s="7" customFormat="1" x14ac:dyDescent="0.25"/>
    <row r="424" s="7" customFormat="1" x14ac:dyDescent="0.25"/>
    <row r="425" s="7" customFormat="1" x14ac:dyDescent="0.25"/>
    <row r="426" s="7" customFormat="1" x14ac:dyDescent="0.25"/>
    <row r="427" s="7" customFormat="1" x14ac:dyDescent="0.25"/>
    <row r="428" s="7" customFormat="1" x14ac:dyDescent="0.25"/>
    <row r="429" s="7" customFormat="1" x14ac:dyDescent="0.25"/>
    <row r="430" s="7" customFormat="1" x14ac:dyDescent="0.25"/>
    <row r="431" s="7" customFormat="1" x14ac:dyDescent="0.25"/>
    <row r="432" s="7" customFormat="1" x14ac:dyDescent="0.25"/>
    <row r="433" s="7" customFormat="1" x14ac:dyDescent="0.25"/>
    <row r="434" s="7" customFormat="1" x14ac:dyDescent="0.25"/>
    <row r="435" s="7" customFormat="1" x14ac:dyDescent="0.25"/>
    <row r="436" s="7" customFormat="1" x14ac:dyDescent="0.25"/>
    <row r="437" s="7" customFormat="1" x14ac:dyDescent="0.25"/>
    <row r="438" s="7" customFormat="1" x14ac:dyDescent="0.25"/>
    <row r="439" s="7" customFormat="1" x14ac:dyDescent="0.25"/>
    <row r="440" s="7" customFormat="1" x14ac:dyDescent="0.25"/>
    <row r="441" s="7" customFormat="1" x14ac:dyDescent="0.25"/>
    <row r="442" s="7" customFormat="1" x14ac:dyDescent="0.25"/>
    <row r="443" s="7" customFormat="1" x14ac:dyDescent="0.25"/>
    <row r="444" s="7" customFormat="1" x14ac:dyDescent="0.25"/>
    <row r="445" s="7" customFormat="1" x14ac:dyDescent="0.25"/>
    <row r="446" s="7" customFormat="1" x14ac:dyDescent="0.25"/>
    <row r="447" s="7" customFormat="1" x14ac:dyDescent="0.25"/>
    <row r="448" s="7" customFormat="1" x14ac:dyDescent="0.25"/>
    <row r="449" s="7" customFormat="1" x14ac:dyDescent="0.25"/>
    <row r="450" s="7" customFormat="1" x14ac:dyDescent="0.25"/>
    <row r="451" s="7" customFormat="1" x14ac:dyDescent="0.25"/>
    <row r="452" s="7" customFormat="1" x14ac:dyDescent="0.25"/>
    <row r="453" s="7" customFormat="1" x14ac:dyDescent="0.25"/>
    <row r="454" s="7" customFormat="1" x14ac:dyDescent="0.25"/>
    <row r="455" s="7" customFormat="1" x14ac:dyDescent="0.25"/>
    <row r="456" s="7" customFormat="1" x14ac:dyDescent="0.25"/>
    <row r="457" s="7" customFormat="1" x14ac:dyDescent="0.25"/>
    <row r="458" s="7" customFormat="1" x14ac:dyDescent="0.25"/>
    <row r="459" s="7" customFormat="1" x14ac:dyDescent="0.25"/>
    <row r="460" s="7" customFormat="1" x14ac:dyDescent="0.25"/>
    <row r="461" s="7" customFormat="1" x14ac:dyDescent="0.25"/>
    <row r="462" s="7" customFormat="1" x14ac:dyDescent="0.25"/>
    <row r="463" s="7" customFormat="1" x14ac:dyDescent="0.25"/>
    <row r="464" s="7" customFormat="1" x14ac:dyDescent="0.25"/>
    <row r="465" s="7" customFormat="1" x14ac:dyDescent="0.25"/>
    <row r="466" s="7" customFormat="1" x14ac:dyDescent="0.25"/>
    <row r="467" s="7" customFormat="1" x14ac:dyDescent="0.25"/>
    <row r="468" s="7" customFormat="1" x14ac:dyDescent="0.25"/>
    <row r="469" s="7" customFormat="1" x14ac:dyDescent="0.25"/>
    <row r="470" s="7" customFormat="1" x14ac:dyDescent="0.25"/>
    <row r="471" s="7" customFormat="1" x14ac:dyDescent="0.25"/>
    <row r="472" s="7" customFormat="1" x14ac:dyDescent="0.25"/>
    <row r="473" s="7" customFormat="1" x14ac:dyDescent="0.25"/>
    <row r="474" s="7" customFormat="1" x14ac:dyDescent="0.25"/>
    <row r="475" s="7" customFormat="1" x14ac:dyDescent="0.25"/>
    <row r="476" s="7" customFormat="1" x14ac:dyDescent="0.25"/>
    <row r="477" s="7" customFormat="1" x14ac:dyDescent="0.25"/>
    <row r="478" s="7" customFormat="1" x14ac:dyDescent="0.25"/>
    <row r="479" s="7" customFormat="1" x14ac:dyDescent="0.25"/>
    <row r="480" s="7" customFormat="1" x14ac:dyDescent="0.25"/>
    <row r="481" s="7" customFormat="1" x14ac:dyDescent="0.25"/>
    <row r="482" s="7" customFormat="1" x14ac:dyDescent="0.25"/>
    <row r="483" s="7" customFormat="1" x14ac:dyDescent="0.25"/>
    <row r="484" s="7" customFormat="1" x14ac:dyDescent="0.25"/>
    <row r="485" s="7" customFormat="1" x14ac:dyDescent="0.25"/>
    <row r="486" s="7" customFormat="1" x14ac:dyDescent="0.25"/>
    <row r="487" s="7" customFormat="1" x14ac:dyDescent="0.25"/>
    <row r="488" s="7" customFormat="1" x14ac:dyDescent="0.25"/>
    <row r="489" s="7" customFormat="1" x14ac:dyDescent="0.25"/>
    <row r="490" s="7" customFormat="1" x14ac:dyDescent="0.25"/>
    <row r="491" s="7" customFormat="1" x14ac:dyDescent="0.25"/>
    <row r="492" s="7" customFormat="1" x14ac:dyDescent="0.25"/>
    <row r="493" s="7" customFormat="1" x14ac:dyDescent="0.25"/>
    <row r="494" s="7" customFormat="1" x14ac:dyDescent="0.25"/>
    <row r="495" s="7" customFormat="1" x14ac:dyDescent="0.25"/>
    <row r="496" s="7" customFormat="1" x14ac:dyDescent="0.25"/>
    <row r="497" s="7" customFormat="1" x14ac:dyDescent="0.25"/>
    <row r="498" s="7" customFormat="1" x14ac:dyDescent="0.25"/>
    <row r="499" s="7" customFormat="1" x14ac:dyDescent="0.25"/>
    <row r="500" s="7" customFormat="1" x14ac:dyDescent="0.25"/>
    <row r="501" s="7" customFormat="1" x14ac:dyDescent="0.25"/>
    <row r="502" s="7" customFormat="1" x14ac:dyDescent="0.25"/>
    <row r="503" s="7" customFormat="1" x14ac:dyDescent="0.25"/>
    <row r="504" s="7" customFormat="1" x14ac:dyDescent="0.25"/>
    <row r="505" s="7" customFormat="1" x14ac:dyDescent="0.25"/>
    <row r="506" s="7" customFormat="1" x14ac:dyDescent="0.25"/>
    <row r="507" s="7" customFormat="1" x14ac:dyDescent="0.25"/>
    <row r="508" s="7" customFormat="1" x14ac:dyDescent="0.25"/>
    <row r="509" s="7" customFormat="1" x14ac:dyDescent="0.25"/>
    <row r="510" s="7" customFormat="1" x14ac:dyDescent="0.25"/>
    <row r="511" s="7" customFormat="1" x14ac:dyDescent="0.25"/>
    <row r="512" s="7" customFormat="1" x14ac:dyDescent="0.25"/>
    <row r="513" s="7" customFormat="1" x14ac:dyDescent="0.25"/>
    <row r="514" s="7" customFormat="1" x14ac:dyDescent="0.25"/>
    <row r="515" s="7" customFormat="1" x14ac:dyDescent="0.25"/>
    <row r="516" s="7" customFormat="1" x14ac:dyDescent="0.25"/>
    <row r="517" s="7" customFormat="1" x14ac:dyDescent="0.25"/>
    <row r="518" s="7" customFormat="1" x14ac:dyDescent="0.25"/>
    <row r="519" s="7" customFormat="1" x14ac:dyDescent="0.25"/>
    <row r="520" s="7" customFormat="1" x14ac:dyDescent="0.25"/>
    <row r="521" s="7" customFormat="1" x14ac:dyDescent="0.25"/>
    <row r="522" s="7" customFormat="1" x14ac:dyDescent="0.25"/>
    <row r="523" s="7" customFormat="1" x14ac:dyDescent="0.25"/>
    <row r="524" s="7" customFormat="1" x14ac:dyDescent="0.25"/>
    <row r="525" s="7" customFormat="1" x14ac:dyDescent="0.25"/>
    <row r="526" s="7" customFormat="1" x14ac:dyDescent="0.25"/>
    <row r="527" s="7" customFormat="1" x14ac:dyDescent="0.25"/>
    <row r="528" s="7" customFormat="1" x14ac:dyDescent="0.25"/>
    <row r="529" s="7" customFormat="1" x14ac:dyDescent="0.25"/>
    <row r="530" s="7" customFormat="1" x14ac:dyDescent="0.25"/>
    <row r="531" s="7" customFormat="1" x14ac:dyDescent="0.25"/>
    <row r="532" s="7" customFormat="1" x14ac:dyDescent="0.25"/>
    <row r="533" s="7" customFormat="1" x14ac:dyDescent="0.25"/>
    <row r="534" s="7" customFormat="1" x14ac:dyDescent="0.25"/>
    <row r="535" s="7" customFormat="1" x14ac:dyDescent="0.25"/>
    <row r="536" s="7" customFormat="1" x14ac:dyDescent="0.25"/>
    <row r="537" s="7" customFormat="1" x14ac:dyDescent="0.25"/>
    <row r="538" s="7" customFormat="1" x14ac:dyDescent="0.25"/>
    <row r="539" s="7" customFormat="1" x14ac:dyDescent="0.25"/>
    <row r="540" s="7" customFormat="1" x14ac:dyDescent="0.25"/>
    <row r="541" s="7" customFormat="1" x14ac:dyDescent="0.25"/>
    <row r="542" s="7" customFormat="1" x14ac:dyDescent="0.25"/>
    <row r="543" s="7" customFormat="1" x14ac:dyDescent="0.25"/>
    <row r="544" s="7" customFormat="1" x14ac:dyDescent="0.25"/>
    <row r="545" s="7" customFormat="1" x14ac:dyDescent="0.25"/>
    <row r="546" s="7" customFormat="1" x14ac:dyDescent="0.25"/>
    <row r="547" s="7" customFormat="1" x14ac:dyDescent="0.25"/>
    <row r="548" s="7" customFormat="1" x14ac:dyDescent="0.25"/>
    <row r="549" s="7" customFormat="1" x14ac:dyDescent="0.25"/>
    <row r="550" s="7" customFormat="1" x14ac:dyDescent="0.25"/>
    <row r="551" s="7" customFormat="1" x14ac:dyDescent="0.25"/>
    <row r="552" s="7" customFormat="1" x14ac:dyDescent="0.25"/>
    <row r="553" s="7" customFormat="1" x14ac:dyDescent="0.25"/>
    <row r="554" s="7" customFormat="1" x14ac:dyDescent="0.25"/>
    <row r="555" s="7" customFormat="1" x14ac:dyDescent="0.25"/>
    <row r="556" s="7" customFormat="1" x14ac:dyDescent="0.25"/>
    <row r="557" s="7" customFormat="1" x14ac:dyDescent="0.25"/>
    <row r="558" s="7" customFormat="1" x14ac:dyDescent="0.25"/>
    <row r="559" s="7" customFormat="1" x14ac:dyDescent="0.25"/>
    <row r="560" s="7" customFormat="1" x14ac:dyDescent="0.25"/>
    <row r="561" s="7" customFormat="1" x14ac:dyDescent="0.25"/>
    <row r="562" s="7" customFormat="1" x14ac:dyDescent="0.25"/>
    <row r="563" s="7" customFormat="1" x14ac:dyDescent="0.25"/>
    <row r="564" s="7" customFormat="1" x14ac:dyDescent="0.25"/>
    <row r="565" s="7" customFormat="1" x14ac:dyDescent="0.25"/>
    <row r="566" s="7" customFormat="1" x14ac:dyDescent="0.25"/>
    <row r="567" s="7" customFormat="1" x14ac:dyDescent="0.25"/>
    <row r="568" s="7" customFormat="1" x14ac:dyDescent="0.25"/>
    <row r="569" s="7" customFormat="1" x14ac:dyDescent="0.25"/>
    <row r="570" s="7" customFormat="1" x14ac:dyDescent="0.25"/>
    <row r="571" s="7" customFormat="1" x14ac:dyDescent="0.25"/>
    <row r="572" s="7" customFormat="1" x14ac:dyDescent="0.25"/>
    <row r="573" s="7" customFormat="1" x14ac:dyDescent="0.25"/>
    <row r="574" s="7" customFormat="1" x14ac:dyDescent="0.25"/>
    <row r="575" s="7" customFormat="1" x14ac:dyDescent="0.25"/>
    <row r="576" s="7" customFormat="1" x14ac:dyDescent="0.25"/>
    <row r="577" s="7" customFormat="1" x14ac:dyDescent="0.25"/>
    <row r="578" s="7" customFormat="1" x14ac:dyDescent="0.25"/>
    <row r="579" s="7" customFormat="1" x14ac:dyDescent="0.25"/>
    <row r="580" s="7" customFormat="1" x14ac:dyDescent="0.25"/>
    <row r="581" s="7" customFormat="1" x14ac:dyDescent="0.25"/>
    <row r="582" s="7" customFormat="1" x14ac:dyDescent="0.25"/>
    <row r="583" s="7" customFormat="1" x14ac:dyDescent="0.25"/>
    <row r="584" s="7" customFormat="1" x14ac:dyDescent="0.25"/>
    <row r="585" s="7" customFormat="1" x14ac:dyDescent="0.25"/>
    <row r="586" s="7" customFormat="1" x14ac:dyDescent="0.25"/>
    <row r="587" s="7" customFormat="1" x14ac:dyDescent="0.25"/>
    <row r="588" s="7" customFormat="1" x14ac:dyDescent="0.25"/>
    <row r="589" s="7" customFormat="1" x14ac:dyDescent="0.25"/>
    <row r="590" s="7" customFormat="1" x14ac:dyDescent="0.25"/>
    <row r="591" s="7" customFormat="1" x14ac:dyDescent="0.25"/>
    <row r="592" s="7" customFormat="1" x14ac:dyDescent="0.25"/>
    <row r="593" s="7" customFormat="1" x14ac:dyDescent="0.25"/>
    <row r="594" s="7" customFormat="1" x14ac:dyDescent="0.25"/>
    <row r="595" s="7" customFormat="1" x14ac:dyDescent="0.25"/>
    <row r="596" s="7" customFormat="1" x14ac:dyDescent="0.25"/>
    <row r="597" s="7" customFormat="1" x14ac:dyDescent="0.25"/>
    <row r="598" s="7" customFormat="1" x14ac:dyDescent="0.25"/>
    <row r="599" s="7" customFormat="1" x14ac:dyDescent="0.25"/>
    <row r="600" s="7" customFormat="1" x14ac:dyDescent="0.25"/>
    <row r="601" s="7" customFormat="1" x14ac:dyDescent="0.25"/>
    <row r="602" s="7" customFormat="1" x14ac:dyDescent="0.25"/>
    <row r="603" s="7" customFormat="1" x14ac:dyDescent="0.25"/>
    <row r="604" s="7" customFormat="1" x14ac:dyDescent="0.25"/>
    <row r="605" s="7" customFormat="1" x14ac:dyDescent="0.25"/>
    <row r="606" s="7" customFormat="1" x14ac:dyDescent="0.25"/>
    <row r="607" s="7" customFormat="1" x14ac:dyDescent="0.25"/>
    <row r="608" s="7" customFormat="1" x14ac:dyDescent="0.25"/>
    <row r="609" s="7" customFormat="1" x14ac:dyDescent="0.25"/>
    <row r="610" s="7" customFormat="1" x14ac:dyDescent="0.25"/>
    <row r="611" s="7" customFormat="1" x14ac:dyDescent="0.25"/>
    <row r="612" s="7" customFormat="1" x14ac:dyDescent="0.25"/>
    <row r="613" s="7" customFormat="1" x14ac:dyDescent="0.25"/>
    <row r="614" s="7" customFormat="1" x14ac:dyDescent="0.25"/>
    <row r="615" s="7" customFormat="1" x14ac:dyDescent="0.25"/>
    <row r="616" s="7" customFormat="1" x14ac:dyDescent="0.25"/>
    <row r="617" s="7" customFormat="1" x14ac:dyDescent="0.25"/>
    <row r="618" s="7" customFormat="1" x14ac:dyDescent="0.25"/>
    <row r="619" s="7" customFormat="1" x14ac:dyDescent="0.25"/>
    <row r="620" s="7" customFormat="1" x14ac:dyDescent="0.25"/>
    <row r="621" s="7" customFormat="1" x14ac:dyDescent="0.25"/>
    <row r="622" s="7" customFormat="1" x14ac:dyDescent="0.25"/>
    <row r="623" s="7" customFormat="1" x14ac:dyDescent="0.25"/>
    <row r="624" s="7" customFormat="1" x14ac:dyDescent="0.25"/>
    <row r="625" s="7" customFormat="1" x14ac:dyDescent="0.25"/>
    <row r="626" s="7" customFormat="1" x14ac:dyDescent="0.25"/>
    <row r="627" s="7" customFormat="1" x14ac:dyDescent="0.25"/>
    <row r="628" s="7" customFormat="1" x14ac:dyDescent="0.25"/>
    <row r="629" s="7" customFormat="1" x14ac:dyDescent="0.25"/>
    <row r="630" s="7" customFormat="1" x14ac:dyDescent="0.25"/>
    <row r="631" s="7" customFormat="1" x14ac:dyDescent="0.25"/>
    <row r="632" s="7" customFormat="1" x14ac:dyDescent="0.25"/>
    <row r="633" s="7" customFormat="1" x14ac:dyDescent="0.25"/>
    <row r="634" s="7" customFormat="1" x14ac:dyDescent="0.25"/>
    <row r="635" s="7" customFormat="1" x14ac:dyDescent="0.25"/>
    <row r="636" s="7" customFormat="1" x14ac:dyDescent="0.25"/>
    <row r="637" s="7" customFormat="1" x14ac:dyDescent="0.25"/>
    <row r="638" s="7" customFormat="1" x14ac:dyDescent="0.25"/>
    <row r="639" s="7" customFormat="1" x14ac:dyDescent="0.25"/>
    <row r="640" s="7" customFormat="1" x14ac:dyDescent="0.25"/>
    <row r="641" s="7" customFormat="1" x14ac:dyDescent="0.25"/>
    <row r="642" s="7" customFormat="1" x14ac:dyDescent="0.25"/>
    <row r="643" s="7" customFormat="1" x14ac:dyDescent="0.25"/>
    <row r="644" s="7" customFormat="1" x14ac:dyDescent="0.25"/>
    <row r="645" s="7" customFormat="1" x14ac:dyDescent="0.25"/>
    <row r="646" s="7" customFormat="1" x14ac:dyDescent="0.25"/>
    <row r="647" s="7" customFormat="1" x14ac:dyDescent="0.25"/>
    <row r="648" s="7" customFormat="1" x14ac:dyDescent="0.25"/>
    <row r="649" s="7" customFormat="1" x14ac:dyDescent="0.25"/>
    <row r="650" s="7" customFormat="1" x14ac:dyDescent="0.25"/>
    <row r="651" s="7" customFormat="1" x14ac:dyDescent="0.25"/>
    <row r="652" s="7" customFormat="1" x14ac:dyDescent="0.25"/>
    <row r="653" s="7" customFormat="1" x14ac:dyDescent="0.25"/>
    <row r="654" s="7" customFormat="1" x14ac:dyDescent="0.25"/>
    <row r="655" s="7" customFormat="1" x14ac:dyDescent="0.25"/>
    <row r="656" s="7" customFormat="1" x14ac:dyDescent="0.25"/>
    <row r="657" s="7" customFormat="1" x14ac:dyDescent="0.25"/>
    <row r="658" s="7" customFormat="1" x14ac:dyDescent="0.25"/>
    <row r="659" s="7" customFormat="1" x14ac:dyDescent="0.25"/>
    <row r="660" s="7" customFormat="1" x14ac:dyDescent="0.25"/>
    <row r="661" s="7" customFormat="1" x14ac:dyDescent="0.25"/>
    <row r="662" s="7" customFormat="1" x14ac:dyDescent="0.25"/>
    <row r="663" s="7" customFormat="1" x14ac:dyDescent="0.25"/>
    <row r="664" s="7" customFormat="1" x14ac:dyDescent="0.25"/>
    <row r="665" s="7" customFormat="1" x14ac:dyDescent="0.25"/>
    <row r="666" s="7" customFormat="1" x14ac:dyDescent="0.25"/>
    <row r="667" s="7" customFormat="1" x14ac:dyDescent="0.25"/>
    <row r="668" s="7" customFormat="1" x14ac:dyDescent="0.25"/>
    <row r="669" s="7" customFormat="1" x14ac:dyDescent="0.25"/>
    <row r="670" s="7" customFormat="1" x14ac:dyDescent="0.25"/>
    <row r="671" s="7" customFormat="1" x14ac:dyDescent="0.25"/>
    <row r="672" s="7" customFormat="1" x14ac:dyDescent="0.25"/>
    <row r="673" s="7" customFormat="1" x14ac:dyDescent="0.25"/>
    <row r="674" s="7" customFormat="1" x14ac:dyDescent="0.25"/>
    <row r="675" s="7" customFormat="1" x14ac:dyDescent="0.25"/>
    <row r="676" s="7" customFormat="1" x14ac:dyDescent="0.25"/>
    <row r="677" s="7" customFormat="1" x14ac:dyDescent="0.25"/>
    <row r="678" s="7" customFormat="1" x14ac:dyDescent="0.25"/>
    <row r="679" s="7" customFormat="1" x14ac:dyDescent="0.25"/>
    <row r="680" s="7" customFormat="1" x14ac:dyDescent="0.25"/>
    <row r="681" s="7" customFormat="1" x14ac:dyDescent="0.25"/>
    <row r="682" s="7" customFormat="1" x14ac:dyDescent="0.25"/>
    <row r="683" s="7" customFormat="1" x14ac:dyDescent="0.25"/>
    <row r="684" s="7" customFormat="1" x14ac:dyDescent="0.25"/>
    <row r="685" s="7" customFormat="1" x14ac:dyDescent="0.25"/>
    <row r="686" s="7" customFormat="1" x14ac:dyDescent="0.25"/>
    <row r="687" s="7" customFormat="1" x14ac:dyDescent="0.25"/>
    <row r="688" s="7" customFormat="1" x14ac:dyDescent="0.25"/>
    <row r="689" s="7" customFormat="1" x14ac:dyDescent="0.25"/>
    <row r="690" s="7" customFormat="1" x14ac:dyDescent="0.25"/>
    <row r="691" s="7" customFormat="1" x14ac:dyDescent="0.25"/>
    <row r="692" s="7" customFormat="1" x14ac:dyDescent="0.25"/>
    <row r="693" s="7" customFormat="1" x14ac:dyDescent="0.25"/>
    <row r="694" s="7" customFormat="1" x14ac:dyDescent="0.25"/>
    <row r="695" s="7" customFormat="1" x14ac:dyDescent="0.25"/>
    <row r="696" s="7" customFormat="1" x14ac:dyDescent="0.25"/>
    <row r="697" s="7" customFormat="1" x14ac:dyDescent="0.25"/>
    <row r="698" s="7" customFormat="1" x14ac:dyDescent="0.25"/>
    <row r="699" s="7" customFormat="1" x14ac:dyDescent="0.25"/>
    <row r="700" s="7" customFormat="1" x14ac:dyDescent="0.25"/>
    <row r="701" s="7" customFormat="1" x14ac:dyDescent="0.25"/>
    <row r="702" s="7" customFormat="1" x14ac:dyDescent="0.25"/>
    <row r="703" s="7" customFormat="1" x14ac:dyDescent="0.25"/>
    <row r="704" s="7" customFormat="1" x14ac:dyDescent="0.25"/>
    <row r="705" s="7" customFormat="1" x14ac:dyDescent="0.25"/>
    <row r="706" s="7" customFormat="1" x14ac:dyDescent="0.25"/>
    <row r="707" s="7" customFormat="1" x14ac:dyDescent="0.25"/>
    <row r="708" s="7" customFormat="1" x14ac:dyDescent="0.25"/>
    <row r="709" s="7" customFormat="1" x14ac:dyDescent="0.25"/>
    <row r="710" s="7" customFormat="1" x14ac:dyDescent="0.25"/>
    <row r="711" s="7" customFormat="1" x14ac:dyDescent="0.25"/>
    <row r="712" s="7" customFormat="1" x14ac:dyDescent="0.25"/>
    <row r="713" s="7" customFormat="1" x14ac:dyDescent="0.25"/>
    <row r="714" s="7" customFormat="1" x14ac:dyDescent="0.25"/>
    <row r="715" s="7" customFormat="1" x14ac:dyDescent="0.25"/>
    <row r="716" s="7" customFormat="1" x14ac:dyDescent="0.25"/>
    <row r="717" s="7" customFormat="1" x14ac:dyDescent="0.25"/>
    <row r="718" s="7" customFormat="1" x14ac:dyDescent="0.25"/>
    <row r="719" s="7" customFormat="1" x14ac:dyDescent="0.25"/>
    <row r="720" s="7" customFormat="1" x14ac:dyDescent="0.25"/>
    <row r="721" s="7" customFormat="1" x14ac:dyDescent="0.25"/>
    <row r="722" s="7" customFormat="1" x14ac:dyDescent="0.25"/>
    <row r="723" s="7" customFormat="1" x14ac:dyDescent="0.25"/>
    <row r="724" s="7" customFormat="1" x14ac:dyDescent="0.25"/>
    <row r="725" s="7" customFormat="1" x14ac:dyDescent="0.25"/>
    <row r="726" s="7" customFormat="1" x14ac:dyDescent="0.25"/>
    <row r="727" s="7" customFormat="1" x14ac:dyDescent="0.25"/>
    <row r="728" s="7" customFormat="1" x14ac:dyDescent="0.25"/>
    <row r="729" s="7" customFormat="1" x14ac:dyDescent="0.25"/>
    <row r="730" s="7" customFormat="1" x14ac:dyDescent="0.25"/>
    <row r="731" s="7" customFormat="1" x14ac:dyDescent="0.25"/>
    <row r="732" s="7" customFormat="1" x14ac:dyDescent="0.25"/>
    <row r="733" s="7" customFormat="1" x14ac:dyDescent="0.25"/>
    <row r="734" s="7" customFormat="1" x14ac:dyDescent="0.25"/>
    <row r="735" s="7" customFormat="1" x14ac:dyDescent="0.25"/>
    <row r="736" s="7" customFormat="1" x14ac:dyDescent="0.25"/>
    <row r="737" s="7" customFormat="1" x14ac:dyDescent="0.25"/>
    <row r="738" s="7" customFormat="1" x14ac:dyDescent="0.25"/>
    <row r="739" s="7" customFormat="1" x14ac:dyDescent="0.25"/>
    <row r="740" s="7" customFormat="1" x14ac:dyDescent="0.25"/>
    <row r="741" s="7" customFormat="1" x14ac:dyDescent="0.25"/>
    <row r="742" s="7" customFormat="1" x14ac:dyDescent="0.25"/>
    <row r="743" s="7" customFormat="1" x14ac:dyDescent="0.25"/>
    <row r="744" s="7" customFormat="1" x14ac:dyDescent="0.25"/>
    <row r="745" s="7" customFormat="1" x14ac:dyDescent="0.25"/>
    <row r="746" s="7" customFormat="1" x14ac:dyDescent="0.25"/>
    <row r="747" s="7" customFormat="1" x14ac:dyDescent="0.25"/>
    <row r="748" s="7" customFormat="1" x14ac:dyDescent="0.25"/>
    <row r="749" s="7" customFormat="1" x14ac:dyDescent="0.25"/>
    <row r="750" s="7" customFormat="1" x14ac:dyDescent="0.25"/>
    <row r="751" s="7" customFormat="1" x14ac:dyDescent="0.25"/>
    <row r="752" s="7" customFormat="1" x14ac:dyDescent="0.25"/>
    <row r="753" s="7" customFormat="1" x14ac:dyDescent="0.25"/>
    <row r="754" s="7" customFormat="1" x14ac:dyDescent="0.25"/>
    <row r="755" s="7" customFormat="1" x14ac:dyDescent="0.25"/>
    <row r="756" s="7" customFormat="1" x14ac:dyDescent="0.25"/>
    <row r="757" s="7" customFormat="1" x14ac:dyDescent="0.25"/>
    <row r="758" s="7" customFormat="1" x14ac:dyDescent="0.25"/>
    <row r="759" s="7" customFormat="1" x14ac:dyDescent="0.25"/>
    <row r="760" s="7" customFormat="1" x14ac:dyDescent="0.25"/>
    <row r="761" s="7" customFormat="1" x14ac:dyDescent="0.25"/>
    <row r="762" s="7" customFormat="1" x14ac:dyDescent="0.25"/>
    <row r="763" s="7" customFormat="1" x14ac:dyDescent="0.25"/>
    <row r="764" s="7" customFormat="1" x14ac:dyDescent="0.25"/>
    <row r="765" s="7" customFormat="1" x14ac:dyDescent="0.25"/>
    <row r="766" s="7" customFormat="1" x14ac:dyDescent="0.25"/>
    <row r="767" s="7" customFormat="1" x14ac:dyDescent="0.25"/>
    <row r="768" s="7" customFormat="1" x14ac:dyDescent="0.25"/>
    <row r="769" s="7" customFormat="1" x14ac:dyDescent="0.25"/>
    <row r="770" s="7" customFormat="1" x14ac:dyDescent="0.25"/>
    <row r="771" s="7" customFormat="1" x14ac:dyDescent="0.25"/>
    <row r="772" s="7" customFormat="1" x14ac:dyDescent="0.25"/>
    <row r="773" s="7" customFormat="1" x14ac:dyDescent="0.25"/>
    <row r="774" s="7" customFormat="1" x14ac:dyDescent="0.25"/>
    <row r="775" s="7" customFormat="1" x14ac:dyDescent="0.25"/>
    <row r="776" s="7" customFormat="1" x14ac:dyDescent="0.25"/>
    <row r="777" s="7" customFormat="1" x14ac:dyDescent="0.25"/>
    <row r="778" s="7" customFormat="1" x14ac:dyDescent="0.25"/>
    <row r="779" s="7" customFormat="1" x14ac:dyDescent="0.25"/>
    <row r="780" s="7" customFormat="1" x14ac:dyDescent="0.25"/>
    <row r="781" s="7" customFormat="1" x14ac:dyDescent="0.25"/>
    <row r="782" s="7" customFormat="1" x14ac:dyDescent="0.25"/>
    <row r="783" s="7" customFormat="1" x14ac:dyDescent="0.25"/>
    <row r="784" s="7" customFormat="1" x14ac:dyDescent="0.25"/>
    <row r="785" s="7" customFormat="1" x14ac:dyDescent="0.25"/>
    <row r="786" s="7" customFormat="1" x14ac:dyDescent="0.25"/>
    <row r="787" s="7" customFormat="1" x14ac:dyDescent="0.25"/>
    <row r="788" s="7" customFormat="1" x14ac:dyDescent="0.25"/>
    <row r="789" s="7" customFormat="1" x14ac:dyDescent="0.25"/>
    <row r="790" s="7" customFormat="1" x14ac:dyDescent="0.25"/>
    <row r="791" s="7" customFormat="1" x14ac:dyDescent="0.25"/>
    <row r="792" s="7" customFormat="1" x14ac:dyDescent="0.25"/>
    <row r="793" s="7" customFormat="1" x14ac:dyDescent="0.25"/>
    <row r="794" s="7" customFormat="1" x14ac:dyDescent="0.25"/>
    <row r="795" s="7" customFormat="1" x14ac:dyDescent="0.25"/>
    <row r="796" s="7" customFormat="1" x14ac:dyDescent="0.25"/>
    <row r="797" s="7" customFormat="1" x14ac:dyDescent="0.25"/>
    <row r="798" s="7" customFormat="1" x14ac:dyDescent="0.25"/>
    <row r="799" s="7" customFormat="1" x14ac:dyDescent="0.25"/>
    <row r="800" s="7" customFormat="1" x14ac:dyDescent="0.25"/>
    <row r="801" s="7" customFormat="1" x14ac:dyDescent="0.25"/>
    <row r="802" s="7" customFormat="1" x14ac:dyDescent="0.25"/>
    <row r="803" s="7" customFormat="1" x14ac:dyDescent="0.25"/>
    <row r="804" s="7" customFormat="1" x14ac:dyDescent="0.25"/>
    <row r="805" s="7" customFormat="1" x14ac:dyDescent="0.25"/>
    <row r="806" s="7" customFormat="1" x14ac:dyDescent="0.25"/>
    <row r="807" s="7" customFormat="1" x14ac:dyDescent="0.25"/>
    <row r="808" s="7" customFormat="1" x14ac:dyDescent="0.25"/>
    <row r="809" s="7" customFormat="1" x14ac:dyDescent="0.25"/>
    <row r="810" s="7" customFormat="1" x14ac:dyDescent="0.25"/>
    <row r="811" s="7" customFormat="1" x14ac:dyDescent="0.25"/>
    <row r="812" s="7" customFormat="1" x14ac:dyDescent="0.25"/>
    <row r="813" s="7" customFormat="1" x14ac:dyDescent="0.25"/>
    <row r="814" s="7" customFormat="1" x14ac:dyDescent="0.25"/>
    <row r="815" s="7" customFormat="1" x14ac:dyDescent="0.25"/>
    <row r="816" s="7" customFormat="1" x14ac:dyDescent="0.25"/>
    <row r="817" s="7" customFormat="1" x14ac:dyDescent="0.25"/>
    <row r="818" s="7" customFormat="1" x14ac:dyDescent="0.25"/>
    <row r="819" s="7" customFormat="1" x14ac:dyDescent="0.25"/>
    <row r="820" s="7" customFormat="1" x14ac:dyDescent="0.25"/>
    <row r="821" s="7" customFormat="1" x14ac:dyDescent="0.25"/>
    <row r="822" s="7" customFormat="1" x14ac:dyDescent="0.25"/>
    <row r="823" s="7" customFormat="1" x14ac:dyDescent="0.25"/>
    <row r="824" s="7" customFormat="1" x14ac:dyDescent="0.25"/>
    <row r="825" s="7" customFormat="1" x14ac:dyDescent="0.25"/>
    <row r="826" s="7" customFormat="1" x14ac:dyDescent="0.25"/>
    <row r="827" s="7" customFormat="1" x14ac:dyDescent="0.25"/>
    <row r="828" s="7" customFormat="1" x14ac:dyDescent="0.25"/>
    <row r="829" s="7" customFormat="1" x14ac:dyDescent="0.25"/>
    <row r="830" s="7" customFormat="1" x14ac:dyDescent="0.25"/>
    <row r="831" s="7" customFormat="1" x14ac:dyDescent="0.25"/>
    <row r="832" s="7" customFormat="1" x14ac:dyDescent="0.25"/>
    <row r="833" s="7" customFormat="1" x14ac:dyDescent="0.25"/>
    <row r="834" s="7" customFormat="1" x14ac:dyDescent="0.25"/>
    <row r="835" s="7" customFormat="1" x14ac:dyDescent="0.25"/>
    <row r="836" s="7" customFormat="1" x14ac:dyDescent="0.25"/>
    <row r="837" s="7" customFormat="1" x14ac:dyDescent="0.25"/>
    <row r="838" s="7" customFormat="1" x14ac:dyDescent="0.25"/>
    <row r="839" s="7" customFormat="1" x14ac:dyDescent="0.25"/>
    <row r="840" s="7" customFormat="1" x14ac:dyDescent="0.25"/>
    <row r="841" s="7" customFormat="1" x14ac:dyDescent="0.25"/>
    <row r="842" s="7" customFormat="1" x14ac:dyDescent="0.25"/>
    <row r="843" s="7" customFormat="1" x14ac:dyDescent="0.25"/>
    <row r="844" s="7" customFormat="1" x14ac:dyDescent="0.25"/>
    <row r="845" s="7" customFormat="1" x14ac:dyDescent="0.25"/>
    <row r="846" s="7" customFormat="1" x14ac:dyDescent="0.25"/>
    <row r="847" s="7" customFormat="1" x14ac:dyDescent="0.25"/>
    <row r="848" s="7" customFormat="1" x14ac:dyDescent="0.25"/>
    <row r="849" s="7" customFormat="1" x14ac:dyDescent="0.25"/>
    <row r="850" s="7" customFormat="1" x14ac:dyDescent="0.25"/>
    <row r="851" s="7" customFormat="1" x14ac:dyDescent="0.25"/>
    <row r="852" s="7" customFormat="1" x14ac:dyDescent="0.25"/>
    <row r="853" s="7" customFormat="1" x14ac:dyDescent="0.25"/>
    <row r="854" s="7" customFormat="1" x14ac:dyDescent="0.25"/>
    <row r="855" s="7" customFormat="1" x14ac:dyDescent="0.25"/>
    <row r="856" s="7" customFormat="1" x14ac:dyDescent="0.25"/>
    <row r="857" s="7" customFormat="1" x14ac:dyDescent="0.25"/>
    <row r="858" s="7" customFormat="1" x14ac:dyDescent="0.25"/>
    <row r="859" s="7" customFormat="1" x14ac:dyDescent="0.25"/>
    <row r="860" s="7" customFormat="1" x14ac:dyDescent="0.25"/>
    <row r="861" s="7" customFormat="1" x14ac:dyDescent="0.25"/>
    <row r="862" s="7" customFormat="1" x14ac:dyDescent="0.25"/>
    <row r="863" s="7" customFormat="1" x14ac:dyDescent="0.25"/>
    <row r="864" s="7" customFormat="1" x14ac:dyDescent="0.25"/>
    <row r="865" s="7" customFormat="1" x14ac:dyDescent="0.25"/>
    <row r="866" s="7" customFormat="1" x14ac:dyDescent="0.25"/>
    <row r="867" s="7" customFormat="1" x14ac:dyDescent="0.25"/>
    <row r="868" s="7" customFormat="1" x14ac:dyDescent="0.25"/>
    <row r="869" s="7" customFormat="1" x14ac:dyDescent="0.25"/>
    <row r="870" s="7" customFormat="1" x14ac:dyDescent="0.25"/>
    <row r="871" s="7" customFormat="1" x14ac:dyDescent="0.25"/>
    <row r="872" s="7" customFormat="1" x14ac:dyDescent="0.25"/>
    <row r="873" s="7" customFormat="1" x14ac:dyDescent="0.25"/>
    <row r="874" s="7" customFormat="1" x14ac:dyDescent="0.25"/>
    <row r="875" s="7" customFormat="1" x14ac:dyDescent="0.25"/>
    <row r="876" s="7" customFormat="1" x14ac:dyDescent="0.25"/>
    <row r="877" s="7" customFormat="1" x14ac:dyDescent="0.25"/>
    <row r="878" s="7" customFormat="1" x14ac:dyDescent="0.25"/>
    <row r="879" s="7" customFormat="1" x14ac:dyDescent="0.25"/>
    <row r="880" s="7" customFormat="1" x14ac:dyDescent="0.25"/>
    <row r="881" s="7" customFormat="1" x14ac:dyDescent="0.25"/>
    <row r="882" s="7" customFormat="1" x14ac:dyDescent="0.25"/>
    <row r="883" s="7" customFormat="1" x14ac:dyDescent="0.25"/>
    <row r="884" s="7" customFormat="1" x14ac:dyDescent="0.25"/>
    <row r="885" s="7" customFormat="1" x14ac:dyDescent="0.25"/>
    <row r="886" s="7" customFormat="1" x14ac:dyDescent="0.25"/>
    <row r="887" s="7" customFormat="1" x14ac:dyDescent="0.25"/>
    <row r="888" s="7" customFormat="1" x14ac:dyDescent="0.25"/>
    <row r="889" s="7" customFormat="1" x14ac:dyDescent="0.25"/>
    <row r="890" s="7" customFormat="1" x14ac:dyDescent="0.25"/>
    <row r="891" s="7" customFormat="1" x14ac:dyDescent="0.25"/>
    <row r="892" s="7" customFormat="1" x14ac:dyDescent="0.25"/>
    <row r="893" s="7" customFormat="1" x14ac:dyDescent="0.25"/>
    <row r="894" s="7" customFormat="1" x14ac:dyDescent="0.25"/>
    <row r="895" s="7" customFormat="1" x14ac:dyDescent="0.25"/>
    <row r="896" s="7" customFormat="1" x14ac:dyDescent="0.25"/>
    <row r="897" s="7" customFormat="1" x14ac:dyDescent="0.25"/>
    <row r="898" s="7" customFormat="1" x14ac:dyDescent="0.25"/>
    <row r="899" s="7" customFormat="1" x14ac:dyDescent="0.25"/>
    <row r="900" s="7" customFormat="1" x14ac:dyDescent="0.25"/>
    <row r="901" s="7" customFormat="1" x14ac:dyDescent="0.25"/>
    <row r="902" s="7" customFormat="1" x14ac:dyDescent="0.25"/>
    <row r="903" s="7" customFormat="1" x14ac:dyDescent="0.25"/>
    <row r="904" s="7" customFormat="1" x14ac:dyDescent="0.25"/>
    <row r="905" s="7" customFormat="1" x14ac:dyDescent="0.25"/>
    <row r="906" s="7" customFormat="1" x14ac:dyDescent="0.25"/>
    <row r="907" s="7" customFormat="1" x14ac:dyDescent="0.25"/>
    <row r="908" s="7" customFormat="1" x14ac:dyDescent="0.25"/>
    <row r="909" s="7" customFormat="1" x14ac:dyDescent="0.25"/>
    <row r="910" s="7" customFormat="1" x14ac:dyDescent="0.25"/>
    <row r="911" s="7" customFormat="1" x14ac:dyDescent="0.25"/>
    <row r="912" s="7" customFormat="1" x14ac:dyDescent="0.25"/>
    <row r="913" s="7" customFormat="1" x14ac:dyDescent="0.25"/>
    <row r="914" s="7" customFormat="1" x14ac:dyDescent="0.25"/>
    <row r="915" s="7" customFormat="1" x14ac:dyDescent="0.25"/>
    <row r="916" s="7" customFormat="1" x14ac:dyDescent="0.25"/>
    <row r="917" s="7" customFormat="1" x14ac:dyDescent="0.25"/>
    <row r="918" s="7" customFormat="1" x14ac:dyDescent="0.25"/>
    <row r="919" s="7" customFormat="1" x14ac:dyDescent="0.25"/>
    <row r="920" s="7" customFormat="1" x14ac:dyDescent="0.25"/>
    <row r="921" s="7" customFormat="1" x14ac:dyDescent="0.25"/>
    <row r="922" s="7" customFormat="1" x14ac:dyDescent="0.25"/>
    <row r="923" s="7" customFormat="1" x14ac:dyDescent="0.25"/>
    <row r="924" s="7" customFormat="1" x14ac:dyDescent="0.25"/>
    <row r="925" s="7" customFormat="1" x14ac:dyDescent="0.25"/>
    <row r="926" s="7" customFormat="1" x14ac:dyDescent="0.25"/>
    <row r="927" s="7" customFormat="1" x14ac:dyDescent="0.25"/>
    <row r="928" s="7" customFormat="1" x14ac:dyDescent="0.25"/>
    <row r="929" s="7" customFormat="1" x14ac:dyDescent="0.25"/>
    <row r="930" s="7" customFormat="1" x14ac:dyDescent="0.25"/>
    <row r="931" s="7" customFormat="1" x14ac:dyDescent="0.25"/>
    <row r="932" s="7" customFormat="1" x14ac:dyDescent="0.25"/>
    <row r="933" s="7" customFormat="1" x14ac:dyDescent="0.25"/>
    <row r="934" s="7" customFormat="1" x14ac:dyDescent="0.25"/>
    <row r="935" s="7" customFormat="1" x14ac:dyDescent="0.25"/>
    <row r="936" s="7" customFormat="1" x14ac:dyDescent="0.25"/>
    <row r="937" s="7" customFormat="1" x14ac:dyDescent="0.25"/>
    <row r="938" s="7" customFormat="1" x14ac:dyDescent="0.25"/>
    <row r="939" s="7" customFormat="1" x14ac:dyDescent="0.25"/>
    <row r="940" s="7" customFormat="1" x14ac:dyDescent="0.25"/>
    <row r="941" s="7" customFormat="1" x14ac:dyDescent="0.25"/>
    <row r="942" s="7" customFormat="1" x14ac:dyDescent="0.25"/>
    <row r="943" s="7" customFormat="1" x14ac:dyDescent="0.25"/>
    <row r="944" s="7" customFormat="1" x14ac:dyDescent="0.25"/>
    <row r="945" s="7" customFormat="1" x14ac:dyDescent="0.25"/>
    <row r="946" s="7" customFormat="1" x14ac:dyDescent="0.25"/>
    <row r="947" s="7" customFormat="1" x14ac:dyDescent="0.25"/>
    <row r="948" s="7" customFormat="1" x14ac:dyDescent="0.25"/>
    <row r="949" s="7" customFormat="1" x14ac:dyDescent="0.25"/>
    <row r="950" s="7" customFormat="1" x14ac:dyDescent="0.25"/>
    <row r="951" s="7" customFormat="1" x14ac:dyDescent="0.25"/>
    <row r="952" s="7" customFormat="1" x14ac:dyDescent="0.25"/>
    <row r="953" s="7" customFormat="1" x14ac:dyDescent="0.25"/>
    <row r="954" s="7" customFormat="1" x14ac:dyDescent="0.25"/>
    <row r="955" s="7" customFormat="1" x14ac:dyDescent="0.25"/>
    <row r="956" s="7" customFormat="1" x14ac:dyDescent="0.25"/>
    <row r="957" s="7" customFormat="1" x14ac:dyDescent="0.25"/>
    <row r="958" s="7" customFormat="1" x14ac:dyDescent="0.25"/>
    <row r="959" s="7" customFormat="1" x14ac:dyDescent="0.25"/>
    <row r="960" s="7" customFormat="1" x14ac:dyDescent="0.25"/>
    <row r="961" s="7" customFormat="1" x14ac:dyDescent="0.25"/>
    <row r="962" s="7" customFormat="1" x14ac:dyDescent="0.25"/>
    <row r="963" s="7" customFormat="1" x14ac:dyDescent="0.25"/>
    <row r="964" s="7" customFormat="1" x14ac:dyDescent="0.25"/>
    <row r="965" s="7" customFormat="1" x14ac:dyDescent="0.25"/>
    <row r="966" s="7" customFormat="1" x14ac:dyDescent="0.25"/>
    <row r="967" s="7" customFormat="1" x14ac:dyDescent="0.25"/>
    <row r="968" s="7" customFormat="1" x14ac:dyDescent="0.25"/>
    <row r="969" s="7" customFormat="1" x14ac:dyDescent="0.25"/>
    <row r="970" s="7" customFormat="1" x14ac:dyDescent="0.25"/>
    <row r="971" s="7" customFormat="1" x14ac:dyDescent="0.25"/>
    <row r="972" s="7" customFormat="1" x14ac:dyDescent="0.25"/>
    <row r="973" s="7" customFormat="1" x14ac:dyDescent="0.25"/>
    <row r="974" s="7" customFormat="1" x14ac:dyDescent="0.25"/>
    <row r="975" s="7" customFormat="1" x14ac:dyDescent="0.25"/>
    <row r="976" s="7" customFormat="1" x14ac:dyDescent="0.25"/>
    <row r="977" s="7" customFormat="1" x14ac:dyDescent="0.25"/>
    <row r="978" s="7" customFormat="1" x14ac:dyDescent="0.25"/>
    <row r="979" s="7" customFormat="1" x14ac:dyDescent="0.25"/>
    <row r="980" s="7" customFormat="1" x14ac:dyDescent="0.25"/>
    <row r="981" s="7" customFormat="1" x14ac:dyDescent="0.25"/>
    <row r="982" s="7" customFormat="1" x14ac:dyDescent="0.25"/>
    <row r="983" s="7" customFormat="1" x14ac:dyDescent="0.25"/>
    <row r="984" s="7" customFormat="1" x14ac:dyDescent="0.25"/>
    <row r="985" s="7" customFormat="1" x14ac:dyDescent="0.25"/>
    <row r="986" s="7" customFormat="1" x14ac:dyDescent="0.25"/>
    <row r="987" s="7" customFormat="1" x14ac:dyDescent="0.25"/>
    <row r="988" s="7" customFormat="1" x14ac:dyDescent="0.25"/>
    <row r="989" s="7" customFormat="1" x14ac:dyDescent="0.25"/>
    <row r="990" s="7" customFormat="1" x14ac:dyDescent="0.25"/>
    <row r="991" s="7" customFormat="1" x14ac:dyDescent="0.25"/>
    <row r="992" s="7" customFormat="1" x14ac:dyDescent="0.25"/>
    <row r="993" s="7" customFormat="1" x14ac:dyDescent="0.25"/>
    <row r="994" s="7" customFormat="1" x14ac:dyDescent="0.25"/>
    <row r="995" s="7" customFormat="1" x14ac:dyDescent="0.25"/>
    <row r="996" s="7" customFormat="1" x14ac:dyDescent="0.25"/>
    <row r="997" s="7" customFormat="1" x14ac:dyDescent="0.25"/>
    <row r="998" s="7" customFormat="1" x14ac:dyDescent="0.25"/>
    <row r="999" s="7" customFormat="1" x14ac:dyDescent="0.25"/>
    <row r="1000" s="7" customFormat="1" x14ac:dyDescent="0.25"/>
    <row r="1001" s="7" customFormat="1" x14ac:dyDescent="0.25"/>
    <row r="1002" s="7" customFormat="1" x14ac:dyDescent="0.25"/>
    <row r="1003" s="7" customFormat="1" x14ac:dyDescent="0.25"/>
    <row r="1004" s="7" customFormat="1" x14ac:dyDescent="0.25"/>
    <row r="1005" s="7" customFormat="1" x14ac:dyDescent="0.25"/>
    <row r="1006" s="7" customFormat="1" x14ac:dyDescent="0.25"/>
    <row r="1007" s="7" customFormat="1" x14ac:dyDescent="0.25"/>
    <row r="1008" s="7" customFormat="1" x14ac:dyDescent="0.25"/>
    <row r="1009" s="7" customFormat="1" x14ac:dyDescent="0.25"/>
    <row r="1010" s="7" customFormat="1" x14ac:dyDescent="0.25"/>
    <row r="1011" s="7" customFormat="1" x14ac:dyDescent="0.25"/>
    <row r="1012" s="7" customFormat="1" x14ac:dyDescent="0.25"/>
    <row r="1013" s="7" customFormat="1" x14ac:dyDescent="0.25"/>
    <row r="1014" s="7" customFormat="1" x14ac:dyDescent="0.25"/>
  </sheetData>
  <mergeCells count="34">
    <mergeCell ref="A2:B4"/>
    <mergeCell ref="C2:H2"/>
    <mergeCell ref="C3:H3"/>
    <mergeCell ref="C4:H4"/>
    <mergeCell ref="A7:I7"/>
    <mergeCell ref="A8:H10"/>
    <mergeCell ref="A11:H11"/>
    <mergeCell ref="A12:H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5:D35"/>
    <mergeCell ref="B36:D36"/>
    <mergeCell ref="B37:D37"/>
    <mergeCell ref="B38:D38"/>
    <mergeCell ref="B30:D30"/>
    <mergeCell ref="B31:D31"/>
    <mergeCell ref="B32:D32"/>
    <mergeCell ref="B33:D33"/>
    <mergeCell ref="B34:D34"/>
  </mergeCells>
  <pageMargins left="0.39374999999999999" right="0.39374999999999999" top="0.39374999999999999" bottom="0.39374999999999999" header="0.511811023622047" footer="0.511811023622047"/>
  <pageSetup orientation="landscape" horizontalDpi="300" verticalDpi="300"/>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24"/>
  <sheetViews>
    <sheetView showGridLines="0" topLeftCell="A16" zoomScale="90" zoomScaleNormal="90" workbookViewId="0">
      <selection activeCell="Q20" sqref="Q20"/>
    </sheetView>
  </sheetViews>
  <sheetFormatPr baseColWidth="10" defaultColWidth="11" defaultRowHeight="14.25" customHeight="1" x14ac:dyDescent="0.2"/>
  <cols>
    <col min="1" max="1" width="4.28515625" style="1" customWidth="1"/>
    <col min="2" max="2" width="26.85546875" style="74" customWidth="1"/>
    <col min="3" max="3" width="17.28515625" style="74" customWidth="1"/>
    <col min="4" max="5" width="26.85546875" style="78" customWidth="1"/>
    <col min="6" max="6" width="29.5703125" style="1" customWidth="1"/>
    <col min="7" max="7" width="40.5703125" style="74" customWidth="1"/>
    <col min="8" max="8" width="3.85546875" style="1" customWidth="1"/>
    <col min="9" max="9" width="4.28515625" style="1" customWidth="1"/>
    <col min="10" max="10" width="5.7109375" style="1" customWidth="1"/>
    <col min="11" max="11" width="14" style="1" customWidth="1"/>
    <col min="12" max="12" width="5.7109375" style="1" hidden="1" customWidth="1"/>
    <col min="13" max="13" width="14" style="1" hidden="1" customWidth="1"/>
    <col min="14" max="17" width="14" style="1" customWidth="1"/>
    <col min="18" max="16384" width="11" style="1"/>
  </cols>
  <sheetData>
    <row r="2" spans="1:14" x14ac:dyDescent="0.2">
      <c r="A2" s="151"/>
      <c r="B2" s="151"/>
      <c r="C2" s="152"/>
      <c r="D2" s="152"/>
      <c r="E2" s="152"/>
      <c r="F2" s="152"/>
      <c r="G2" s="152"/>
      <c r="H2" s="152"/>
      <c r="I2" s="152"/>
      <c r="J2" s="152"/>
      <c r="K2" s="152"/>
    </row>
    <row r="3" spans="1:14" ht="14.25" customHeight="1" x14ac:dyDescent="0.2">
      <c r="A3" s="151"/>
      <c r="B3" s="151"/>
      <c r="C3" s="153" t="s">
        <v>80</v>
      </c>
      <c r="D3" s="153"/>
      <c r="E3" s="153"/>
      <c r="F3" s="153"/>
      <c r="G3" s="153"/>
      <c r="H3" s="153"/>
      <c r="I3" s="153"/>
      <c r="J3" s="153"/>
      <c r="K3" s="153"/>
    </row>
    <row r="4" spans="1:14" x14ac:dyDescent="0.2">
      <c r="A4" s="151"/>
      <c r="B4" s="151"/>
      <c r="C4" s="154"/>
      <c r="D4" s="154"/>
      <c r="E4" s="154"/>
      <c r="F4" s="154"/>
      <c r="G4" s="154"/>
      <c r="H4" s="154"/>
      <c r="I4" s="154"/>
      <c r="J4" s="154"/>
      <c r="K4" s="154"/>
    </row>
    <row r="5" spans="1:14" ht="15" x14ac:dyDescent="0.25">
      <c r="A5" s="38"/>
      <c r="B5" s="68"/>
      <c r="C5" s="69"/>
      <c r="D5" s="75"/>
      <c r="E5" s="75"/>
      <c r="F5" s="39"/>
      <c r="G5" s="69"/>
      <c r="H5" s="39"/>
      <c r="I5" s="39"/>
      <c r="J5" s="39"/>
      <c r="K5" s="40"/>
    </row>
    <row r="7" spans="1:14" ht="27.75" customHeight="1" x14ac:dyDescent="0.2">
      <c r="A7" s="147" t="s">
        <v>81</v>
      </c>
      <c r="B7" s="147"/>
      <c r="C7" s="70" t="s">
        <v>23</v>
      </c>
      <c r="D7" s="155" t="s">
        <v>82</v>
      </c>
      <c r="E7" s="155"/>
      <c r="F7" s="41" t="s">
        <v>83</v>
      </c>
      <c r="G7" s="79" t="s">
        <v>84</v>
      </c>
      <c r="H7" s="156" t="s">
        <v>85</v>
      </c>
      <c r="I7" s="156"/>
      <c r="J7" s="156"/>
      <c r="K7" s="41" t="s">
        <v>86</v>
      </c>
    </row>
    <row r="8" spans="1:14" ht="14.25" customHeight="1" x14ac:dyDescent="0.2">
      <c r="A8" s="147" t="s">
        <v>87</v>
      </c>
      <c r="B8" s="147"/>
      <c r="C8" s="148" t="s">
        <v>88</v>
      </c>
      <c r="D8" s="148"/>
      <c r="E8" s="148"/>
      <c r="F8" s="148"/>
      <c r="G8" s="148"/>
      <c r="H8" s="148"/>
      <c r="I8" s="148"/>
      <c r="J8" s="148"/>
      <c r="K8" s="148"/>
    </row>
    <row r="9" spans="1:14" ht="14.25" customHeight="1" x14ac:dyDescent="0.2">
      <c r="A9" s="147" t="s">
        <v>89</v>
      </c>
      <c r="B9" s="147"/>
      <c r="C9" s="71">
        <v>46297</v>
      </c>
      <c r="D9" s="149" t="s">
        <v>90</v>
      </c>
      <c r="E9" s="149"/>
      <c r="F9" s="150">
        <v>0.94097222222222199</v>
      </c>
      <c r="G9" s="150"/>
      <c r="H9" s="150"/>
      <c r="I9" s="150"/>
      <c r="J9" s="150"/>
      <c r="K9" s="150"/>
    </row>
    <row r="10" spans="1:14" x14ac:dyDescent="0.2">
      <c r="A10" s="42"/>
      <c r="B10" s="72"/>
      <c r="C10" s="73"/>
      <c r="D10" s="76"/>
      <c r="E10" s="76"/>
      <c r="F10" s="43"/>
      <c r="G10" s="80"/>
      <c r="H10" s="43"/>
      <c r="I10" s="43"/>
      <c r="J10" s="43"/>
    </row>
    <row r="12" spans="1:14" ht="14.25" customHeight="1" x14ac:dyDescent="0.2">
      <c r="A12" s="143" t="s">
        <v>91</v>
      </c>
      <c r="B12" s="143"/>
      <c r="C12" s="143"/>
      <c r="D12" s="143"/>
      <c r="E12" s="143"/>
      <c r="F12" s="143"/>
      <c r="G12" s="143"/>
      <c r="H12" s="143"/>
      <c r="I12" s="143"/>
      <c r="J12" s="143"/>
      <c r="K12" s="143"/>
    </row>
    <row r="13" spans="1:14" ht="30.75" customHeight="1" x14ac:dyDescent="0.2">
      <c r="A13" s="144" t="s">
        <v>27</v>
      </c>
      <c r="B13" s="145" t="s">
        <v>92</v>
      </c>
      <c r="C13" s="145"/>
      <c r="D13" s="146" t="s">
        <v>93</v>
      </c>
      <c r="E13" s="146" t="s">
        <v>94</v>
      </c>
      <c r="F13" s="146" t="s">
        <v>32</v>
      </c>
      <c r="G13" s="145" t="s">
        <v>95</v>
      </c>
      <c r="H13" s="146" t="s">
        <v>96</v>
      </c>
      <c r="I13" s="146"/>
      <c r="J13" s="146"/>
      <c r="K13" s="146" t="s">
        <v>33</v>
      </c>
    </row>
    <row r="14" spans="1:14" ht="24.75" customHeight="1" x14ac:dyDescent="0.2">
      <c r="A14" s="144"/>
      <c r="B14" s="145"/>
      <c r="C14" s="145"/>
      <c r="D14" s="146"/>
      <c r="E14" s="146"/>
      <c r="F14" s="146"/>
      <c r="G14" s="145"/>
      <c r="H14" s="44" t="s">
        <v>34</v>
      </c>
      <c r="I14" s="10" t="s">
        <v>35</v>
      </c>
      <c r="J14" s="10" t="s">
        <v>97</v>
      </c>
      <c r="K14" s="146"/>
      <c r="L14" s="7"/>
      <c r="M14" s="7"/>
      <c r="N14" s="7"/>
    </row>
    <row r="15" spans="1:14" ht="66.75" customHeight="1" x14ac:dyDescent="0.2">
      <c r="A15" s="67">
        <v>1</v>
      </c>
      <c r="B15" s="142" t="s">
        <v>127</v>
      </c>
      <c r="C15" s="142"/>
      <c r="D15" s="18">
        <v>46297.888888888891</v>
      </c>
      <c r="E15" s="18">
        <f>D15+M15</f>
        <v>46297.899305555555</v>
      </c>
      <c r="F15" s="47" t="s">
        <v>44</v>
      </c>
      <c r="G15" s="81" t="s">
        <v>130</v>
      </c>
      <c r="H15" s="45"/>
      <c r="I15" s="45"/>
      <c r="J15" s="45"/>
      <c r="K15" s="45"/>
      <c r="M15" s="46">
        <v>1.0416666666666666E-2</v>
      </c>
    </row>
    <row r="16" spans="1:14" ht="45" customHeight="1" x14ac:dyDescent="0.2">
      <c r="A16" s="67">
        <v>2</v>
      </c>
      <c r="B16" s="142" t="s">
        <v>101</v>
      </c>
      <c r="C16" s="142"/>
      <c r="D16" s="18">
        <f t="shared" ref="D16:D20" si="0">E15</f>
        <v>46297.899305555555</v>
      </c>
      <c r="E16" s="18">
        <f>D16+M16</f>
        <v>46297.902777777774</v>
      </c>
      <c r="F16" s="47" t="s">
        <v>44</v>
      </c>
      <c r="G16" s="82"/>
      <c r="H16" s="45"/>
      <c r="I16" s="45"/>
      <c r="J16" s="45"/>
      <c r="K16" s="45"/>
      <c r="M16" s="46">
        <v>3.4722222222222199E-3</v>
      </c>
    </row>
    <row r="17" spans="1:13" ht="69" customHeight="1" x14ac:dyDescent="0.2">
      <c r="A17" s="67">
        <v>3</v>
      </c>
      <c r="B17" s="142" t="s">
        <v>128</v>
      </c>
      <c r="C17" s="142"/>
      <c r="D17" s="18">
        <f t="shared" si="0"/>
        <v>46297.902777777774</v>
      </c>
      <c r="E17" s="18">
        <f t="shared" ref="E17:E22" si="1">D17+M17</f>
        <v>46297.913194444438</v>
      </c>
      <c r="F17" s="47" t="s">
        <v>44</v>
      </c>
      <c r="G17" s="83" t="s">
        <v>131</v>
      </c>
      <c r="H17" s="49"/>
      <c r="I17" s="49"/>
      <c r="J17" s="49"/>
      <c r="K17" s="49"/>
      <c r="M17" s="46">
        <v>1.0416666666666666E-2</v>
      </c>
    </row>
    <row r="18" spans="1:13" ht="45" customHeight="1" x14ac:dyDescent="0.2">
      <c r="A18" s="67">
        <v>4</v>
      </c>
      <c r="B18" s="142" t="s">
        <v>46</v>
      </c>
      <c r="C18" s="142"/>
      <c r="D18" s="18">
        <f t="shared" si="0"/>
        <v>46297.913194444438</v>
      </c>
      <c r="E18" s="18">
        <f t="shared" si="1"/>
        <v>46297.916666666657</v>
      </c>
      <c r="F18" s="47" t="s">
        <v>44</v>
      </c>
      <c r="G18" s="82"/>
      <c r="H18" s="45"/>
      <c r="I18" s="45"/>
      <c r="J18" s="45"/>
      <c r="K18" s="45"/>
      <c r="M18" s="46">
        <v>3.4722222222222199E-3</v>
      </c>
    </row>
    <row r="19" spans="1:13" ht="65.45" customHeight="1" x14ac:dyDescent="0.2">
      <c r="A19" s="67">
        <v>5</v>
      </c>
      <c r="B19" s="142" t="s">
        <v>103</v>
      </c>
      <c r="C19" s="142"/>
      <c r="D19" s="18">
        <f t="shared" si="0"/>
        <v>46297.916666666657</v>
      </c>
      <c r="E19" s="18">
        <f t="shared" si="1"/>
        <v>46297.927083333321</v>
      </c>
      <c r="F19" s="47" t="s">
        <v>44</v>
      </c>
      <c r="G19" s="83" t="s">
        <v>132</v>
      </c>
      <c r="H19" s="49"/>
      <c r="I19" s="49"/>
      <c r="J19" s="49"/>
      <c r="K19" s="49"/>
      <c r="M19" s="46">
        <v>1.0416666666666666E-2</v>
      </c>
    </row>
    <row r="20" spans="1:13" ht="55.15" customHeight="1" x14ac:dyDescent="0.2">
      <c r="A20" s="67">
        <v>6</v>
      </c>
      <c r="B20" s="142" t="s">
        <v>47</v>
      </c>
      <c r="C20" s="142"/>
      <c r="D20" s="18">
        <f t="shared" si="0"/>
        <v>46297.927083333321</v>
      </c>
      <c r="E20" s="18">
        <f t="shared" si="1"/>
        <v>46297.93055555554</v>
      </c>
      <c r="F20" s="47" t="s">
        <v>44</v>
      </c>
      <c r="G20" s="82"/>
      <c r="H20" s="45"/>
      <c r="I20" s="45"/>
      <c r="J20" s="45"/>
      <c r="K20" s="45"/>
      <c r="M20" s="46">
        <v>3.4722222222222199E-3</v>
      </c>
    </row>
    <row r="21" spans="1:13" ht="65.45" customHeight="1" x14ac:dyDescent="0.2">
      <c r="A21" s="67">
        <v>7</v>
      </c>
      <c r="B21" s="142" t="s">
        <v>102</v>
      </c>
      <c r="C21" s="142"/>
      <c r="D21" s="18">
        <f>E20</f>
        <v>46297.93055555554</v>
      </c>
      <c r="E21" s="18">
        <f t="shared" si="1"/>
        <v>46297.940972222204</v>
      </c>
      <c r="F21" s="47" t="s">
        <v>44</v>
      </c>
      <c r="G21" s="83" t="s">
        <v>133</v>
      </c>
      <c r="H21" s="45"/>
      <c r="I21" s="45"/>
      <c r="J21" s="45"/>
      <c r="K21" s="45"/>
      <c r="M21" s="46">
        <v>1.0416666666666666E-2</v>
      </c>
    </row>
    <row r="22" spans="1:13" ht="55.15" customHeight="1" x14ac:dyDescent="0.2">
      <c r="A22" s="67">
        <v>8</v>
      </c>
      <c r="B22" s="142" t="s">
        <v>48</v>
      </c>
      <c r="C22" s="142"/>
      <c r="D22" s="18">
        <f>E21</f>
        <v>46297.940972222204</v>
      </c>
      <c r="E22" s="18">
        <f t="shared" si="1"/>
        <v>46297.944444444423</v>
      </c>
      <c r="F22" s="47" t="s">
        <v>44</v>
      </c>
      <c r="G22" s="82"/>
      <c r="H22" s="45"/>
      <c r="I22" s="45"/>
      <c r="J22" s="45"/>
      <c r="K22" s="45"/>
      <c r="M22" s="46">
        <v>3.4722222222222199E-3</v>
      </c>
    </row>
    <row r="23" spans="1:13" ht="60.75" customHeight="1" x14ac:dyDescent="0.2">
      <c r="A23" s="67">
        <v>9</v>
      </c>
      <c r="B23" s="140" t="s">
        <v>129</v>
      </c>
      <c r="C23" s="140"/>
      <c r="D23" s="18">
        <f t="shared" ref="D23:D24" si="2">E22</f>
        <v>46297.944444444423</v>
      </c>
      <c r="E23" s="77">
        <f>D23+M23</f>
        <v>46297.954861111088</v>
      </c>
      <c r="F23" s="47" t="s">
        <v>44</v>
      </c>
      <c r="G23" s="84" t="s">
        <v>134</v>
      </c>
      <c r="H23" s="49"/>
      <c r="I23" s="49"/>
      <c r="J23" s="49"/>
      <c r="K23" s="49"/>
      <c r="M23" s="46">
        <v>1.0416666666666666E-2</v>
      </c>
    </row>
    <row r="24" spans="1:13" ht="56.25" customHeight="1" x14ac:dyDescent="0.2">
      <c r="A24" s="67">
        <v>10</v>
      </c>
      <c r="B24" s="141" t="s">
        <v>116</v>
      </c>
      <c r="C24" s="141"/>
      <c r="D24" s="18">
        <f t="shared" si="2"/>
        <v>46297.954861111088</v>
      </c>
      <c r="E24" s="77">
        <f>D24+M24</f>
        <v>46297.958333333307</v>
      </c>
      <c r="F24" s="47" t="s">
        <v>44</v>
      </c>
      <c r="G24" s="85"/>
      <c r="H24" s="49"/>
      <c r="I24" s="49"/>
      <c r="J24" s="49"/>
      <c r="K24" s="49"/>
      <c r="M24" s="46">
        <v>3.4722222222222199E-3</v>
      </c>
    </row>
  </sheetData>
  <mergeCells count="31">
    <mergeCell ref="A2:B4"/>
    <mergeCell ref="C2:K2"/>
    <mergeCell ref="C3:K3"/>
    <mergeCell ref="C4:K4"/>
    <mergeCell ref="A7:B7"/>
    <mergeCell ref="D7:E7"/>
    <mergeCell ref="H7:J7"/>
    <mergeCell ref="A8:B8"/>
    <mergeCell ref="C8:K8"/>
    <mergeCell ref="A9:B9"/>
    <mergeCell ref="D9:E9"/>
    <mergeCell ref="F9:K9"/>
    <mergeCell ref="A12:K12"/>
    <mergeCell ref="A13:A14"/>
    <mergeCell ref="B13:C14"/>
    <mergeCell ref="D13:D14"/>
    <mergeCell ref="E13:E14"/>
    <mergeCell ref="F13:F14"/>
    <mergeCell ref="G13:G14"/>
    <mergeCell ref="H13:J13"/>
    <mergeCell ref="K13:K14"/>
    <mergeCell ref="B15:C15"/>
    <mergeCell ref="B16:C16"/>
    <mergeCell ref="B17:C17"/>
    <mergeCell ref="B18:C18"/>
    <mergeCell ref="B19:C19"/>
    <mergeCell ref="B23:C23"/>
    <mergeCell ref="B24:C24"/>
    <mergeCell ref="B20:C20"/>
    <mergeCell ref="B21:C21"/>
    <mergeCell ref="B22:C22"/>
  </mergeCells>
  <pageMargins left="0.39374999999999999" right="0.39374999999999999" top="0.39374999999999999" bottom="0.39374999999999999" header="0.511811023622047" footer="0.511811023622047"/>
  <pageSetup orientation="landscape" horizontalDpi="300" verticalDpi="300"/>
  <drawing r:id="rId1"/>
  <legacyDrawing r:id="rId2"/>
</worksheet>
</file>

<file path=docProps/app.xml><?xml version="1.0" encoding="utf-8"?>
<Properties xmlns="http://schemas.openxmlformats.org/officeDocument/2006/extended-properties" xmlns:vt="http://schemas.openxmlformats.org/officeDocument/2006/docPropsVTypes">
  <Template/>
  <TotalTime>124</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Datos Generales</vt:lpstr>
      <vt:lpstr>Plan de trabajo</vt:lpstr>
      <vt:lpstr>Impacto</vt:lpstr>
      <vt:lpstr>Plan de Regreso</vt:lpstr>
      <vt:lpstr>Plan de Respaldo o Contingencia</vt:lpstr>
      <vt:lpstr>Plan de Pruebas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Jacqueline</dc:creator>
  <dc:description/>
  <cp:lastModifiedBy>rcampo05</cp:lastModifiedBy>
  <cp:revision>15</cp:revision>
  <cp:lastPrinted>2009-02-26T20:08:02Z</cp:lastPrinted>
  <dcterms:created xsi:type="dcterms:W3CDTF">2009-01-29T22:59:42Z</dcterms:created>
  <dcterms:modified xsi:type="dcterms:W3CDTF">2026-10-02T17:41:40Z</dcterms:modified>
  <dc:language>es-VE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(3)v3gVTBceA4NkGxKc2RPU6nL03cgJYnvLCWgeRleVZ0v+QmP5Yqi7yJVJYLFiJZcAV3O4RxR/_x000d_
2q/i04uWFizVQz/z2fytWxfo3JNWjQPjE+U4UOzU7Ng521Y/oLrrIGFyg+afbTIBwgO9W6Im_x000d_
DDdXB3whGPlAtsF5oXc1Pownl6dc2lMSUSRyLPrgpICNGNWkY1Qn6GWgSVXdQ9jSME1RjF4M_x000d_
3KokRrdlGDFFY0/S0S</vt:lpwstr>
  </property>
  <property fmtid="{D5CDD505-2E9C-101B-9397-08002B2CF9AE}" pid="3" name="_2015_ms_pID_7253431">
    <vt:lpwstr>JQpXeYmPTmcigl7Zi1o0Xzky2fGH/PRQ4DzKKq3muwGDbV7UmPjBFF_x000d_
f+CNqgo/aMmpTE47P/8Kbh/Qy0KrSrR7bBuOoRC4IHMHw406lkvq+lrbwUgO++GDSKcwhVig_x000d_
1Te23xZvByv6IMdbie4CZ2a+1pGLuhV+4Dj7afPXGvfmmWh671hVVrxJvVedL9aCw3QXMEhY_x000d_
df+SD3Qrj9KGUsbCaaiTo/6APdX3WsFXaNtV</vt:lpwstr>
  </property>
  <property fmtid="{D5CDD505-2E9C-101B-9397-08002B2CF9AE}" pid="4" name="_2015_ms_pID_7253432">
    <vt:lpwstr>mg==</vt:lpwstr>
  </property>
</Properties>
</file>